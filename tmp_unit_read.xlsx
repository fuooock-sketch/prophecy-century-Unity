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Sheet1!$A$2:$S$73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<sst xmlns="http://schemas.openxmlformats.org/spreadsheetml/2006/main" count="824" uniqueCount="403">
  <si>
    <t>unit</t>
  </si>
  <si>
    <t>level</t>
  </si>
  <si>
    <t>Race</t>
  </si>
  <si>
    <t>Type</t>
  </si>
  <si>
    <t>faith</t>
  </si>
  <si>
    <t>tag</t>
  </si>
  <si>
    <t>limit</t>
  </si>
  <si>
    <t>talent_1</t>
  </si>
  <si>
    <t>talent_2</t>
  </si>
  <si>
    <t>battle_1</t>
  </si>
  <si>
    <t>battle_2</t>
  </si>
  <si>
    <t>hp</t>
  </si>
  <si>
    <t>atk</t>
  </si>
  <si>
    <t>def</t>
  </si>
  <si>
    <t>str</t>
  </si>
  <si>
    <t>speed</t>
  </si>
  <si>
    <t>luck</t>
  </si>
  <si>
    <t>morale</t>
  </si>
  <si>
    <t>range</t>
  </si>
  <si>
    <t>size</t>
  </si>
  <si>
    <t>名字</t>
  </si>
  <si>
    <t>星级</t>
  </si>
  <si>
    <t>种族</t>
  </si>
  <si>
    <t>职业</t>
  </si>
  <si>
    <t>信仰</t>
  </si>
  <si>
    <t>标签</t>
  </si>
  <si>
    <t>默认数量</t>
  </si>
  <si>
    <t>运营阶段_卡牌能力</t>
  </si>
  <si>
    <t>运营阶段_金色卡牌能力</t>
  </si>
  <si>
    <t>战斗阶段_战斗能力</t>
  </si>
  <si>
    <t>战斗阶段_金色战斗能力</t>
  </si>
  <si>
    <t>生命</t>
  </si>
  <si>
    <t>攻击</t>
  </si>
  <si>
    <t>防御</t>
  </si>
  <si>
    <t>力量</t>
  </si>
  <si>
    <t>速度</t>
  </si>
  <si>
    <t>幸运</t>
  </si>
  <si>
    <t>士气</t>
  </si>
  <si>
    <t>攻击距离</t>
  </si>
  <si>
    <t>体型</t>
  </si>
  <si>
    <t>备注（此列仅说明用）</t>
  </si>
  <si>
    <t>小商人</t>
  </si>
  <si>
    <t>甘地</t>
  </si>
  <si>
    <t>-</t>
  </si>
  <si>
    <t>无</t>
  </si>
  <si>
    <t/>
  </si>
  <si>
    <t>造成追击后，下回合开始时获得+1金币（每场战斗仅生效1次）</t>
  </si>
  <si>
    <t>造成追击后，下回合开始时获得+2金币（每场战斗仅生效1次）</t>
  </si>
  <si>
    <t>光明武士</t>
  </si>
  <si>
    <t>战士</t>
  </si>
  <si>
    <t>莱特</t>
  </si>
  <si>
    <t>回合结束时，如果相邻的格子中有莱特信仰者，获得+15攻击</t>
  </si>
  <si>
    <t>回合结束时，如果相邻的格子中有莱特信仰者，获得+30攻击</t>
  </si>
  <si>
    <t>左侧和右侧都有</t>
  </si>
  <si>
    <t>精灵</t>
  </si>
  <si>
    <t>魔灵</t>
  </si>
  <si>
    <t>每入场一名甘地单位，获得+20攻击</t>
  </si>
  <si>
    <t>每入场一名甘地单位，获得+40攻击</t>
  </si>
  <si>
    <t>铁匠</t>
  </si>
  <si>
    <t>使每个入场的甘地单位获得+2防御</t>
  </si>
  <si>
    <t>使每个入场的甘地单位获得+2防御和+10攻击</t>
  </si>
  <si>
    <t>每回合减少40点生命值同时其他友军临时获得20攻击，当生命值为0时阵亡</t>
  </si>
  <si>
    <t>每轮次减少40点生命值同时其他友军临时获得40攻击，当生命值为0时阵亡</t>
  </si>
  <si>
    <t>僧侣</t>
  </si>
  <si>
    <t>法师</t>
  </si>
  <si>
    <t>与自己同一排的所有单位都视为甘地单位</t>
  </si>
  <si>
    <t>每有1名莱特信仰者，临时获得+50攻击</t>
  </si>
  <si>
    <t>每有1名莱特信仰者，临时获得+50攻击和50士气</t>
  </si>
  <si>
    <t>骑士</t>
  </si>
  <si>
    <t>回合开始时，如果场上至少有5个甘地单位，则临时获得+（回合数+1）点力量</t>
  </si>
  <si>
    <t>回合开始时，如果场上至少有5个甘地单位，则临时获得+（回合数+4）点力量</t>
  </si>
  <si>
    <t>开战后，瞬间冲到最近的敌人，造成1次暴击伤害和1轮次的眩晕</t>
  </si>
  <si>
    <t>开战后，瞬间冲到最近的敌人，造成2次暴击伤害和1轮次的眩晕</t>
  </si>
  <si>
    <t>冲锋：用最快的速度冲到目标面前，对目标造成一次暴击伤害，冲锋结束后，下次锁定最近的单位发起攻击
无敌：受到任何伤害均为0</t>
  </si>
  <si>
    <t>刺客</t>
  </si>
  <si>
    <t>回合结束时，如果场上的甘地单位数量达到5个，则获得+20攻击</t>
  </si>
  <si>
    <t>回合结束时，如果场上的甘地单位数量达到5个，则获得+40攻击</t>
  </si>
  <si>
    <t>潜行。
第1次攻击必定暴击，如果力量不小于5，则为3倍暴击</t>
  </si>
  <si>
    <t>潜行。
前2次攻击必定暴击，如果力量不小于5，则为4倍暴击</t>
  </si>
  <si>
    <t>潜行：在发起攻击前，不会被锁定目标，潜行状态下的第一次攻击必定暴击并移除潜行状态</t>
  </si>
  <si>
    <t>牧师</t>
  </si>
  <si>
    <t>每入场5个甘地单位，随机获得1个甘地单位</t>
  </si>
  <si>
    <t>每入场5个甘地单位，随机获得2个甘地单位</t>
  </si>
  <si>
    <t>开战后，随机给友方2个单位增加一个护盾，护盾可以完全抵挡最多1次的伤害</t>
  </si>
  <si>
    <t>开战后，随机给友方4个单位增加一个护盾，护盾可以完全抵挡最多1次的伤害</t>
  </si>
  <si>
    <t>流浪者</t>
  </si>
  <si>
    <t>获得的攻击，每累积80，则随机获得1张甘地卡牌（每回合仅限1次）</t>
  </si>
  <si>
    <t>获得的攻击，每累积80，则随机获得2张甘地卡牌（每回合仅限1次）</t>
  </si>
  <si>
    <t>武学大师</t>
  </si>
  <si>
    <t>每获得1个甘地单位，获得+10攻击（无论是购买、发现还是随机获得）</t>
  </si>
  <si>
    <t>每获得1个甘地单位，获得+20攻击（无论是购买、发现还是随机获得）</t>
  </si>
  <si>
    <t>每次攻击都会造成周围1距离内的范围伤害</t>
  </si>
  <si>
    <t>每次攻击都会造成周围2距离内的范围伤害</t>
  </si>
  <si>
    <t>光明导师</t>
  </si>
  <si>
    <t>开战后，在最近的2个格子中分别召唤出1具有10点生命不会攻击和移动的幻影，幻影也算作莱特信仰者</t>
  </si>
  <si>
    <t>开战后，在最近的4个格子中分别召唤出1具有10点生命不会攻击和移动的幻影，幻影也算作莱特信仰者</t>
  </si>
  <si>
    <t>卫戍协兵</t>
  </si>
  <si>
    <t>获得防御时，全军获得+15攻击</t>
  </si>
  <si>
    <t>获得防御时，全军获得+30攻击</t>
  </si>
  <si>
    <t>我方任意单位产生1次暴击，本单位临时获得1点力量</t>
  </si>
  <si>
    <t>我方任意单位产生1次暴击，本单位临时获得2点力量</t>
  </si>
  <si>
    <t>莱特使者</t>
  </si>
  <si>
    <t>开战后，如果我方莱特信仰者至少有6名，下回合开始时随机发现1名莱特信仰者</t>
  </si>
  <si>
    <t>开战后，如果我方莱特信仰者至少有6名，下回合开始时随机发现2名莱特信仰者</t>
  </si>
  <si>
    <t>皇家剑士</t>
  </si>
  <si>
    <t>回合结束时，全体战士获得+10攻击和+1防御</t>
  </si>
  <si>
    <t>回合结束时，全体战士获得+20攻击和+2防御</t>
  </si>
  <si>
    <t>莱特的回响</t>
  </si>
  <si>
    <t>开战后，己方每有1名莱特信仰者，全军获得+20攻击</t>
  </si>
  <si>
    <t>开战后，己方每有1名莱特信仰者，全军获得+40攻击</t>
  </si>
  <si>
    <t>冰霜魔灵</t>
  </si>
  <si>
    <t>甘德</t>
  </si>
  <si>
    <t>离场时，获得+1金币，场上随机1个单位获得+1力量</t>
  </si>
  <si>
    <t>离场时，获得+2金币，场上随机1个单位获得+2力量</t>
  </si>
  <si>
    <t>犟嘴学徒</t>
  </si>
  <si>
    <t>艾瑞</t>
  </si>
  <si>
    <t>入场时，场上随机1个甘德单位获得1力量</t>
  </si>
  <si>
    <t>入场时，场上随机2个甘德单位获得1力量</t>
  </si>
  <si>
    <t>每次受到伤害会立刻进行1次反击</t>
  </si>
  <si>
    <t>火元素</t>
  </si>
  <si>
    <t>元素</t>
  </si>
  <si>
    <t>每获得1次力量，获得+15攻击</t>
  </si>
  <si>
    <t>每获得1次力量，获得+25攻击</t>
  </si>
  <si>
    <t>每次攻击都会造成周围1距离内的范围伤害；如果阵亡，则自爆，对他们造成1次2倍攻击的伤害</t>
  </si>
  <si>
    <t>每次攻击都会造成周围1距离内的范围伤害；如果阵亡，则自爆，对他们造成1次3倍攻击的伤害</t>
  </si>
  <si>
    <t>低级元素使</t>
  </si>
  <si>
    <t>每入场一个元素，使其与场上同名元素获得+1力量</t>
  </si>
  <si>
    <t>每入场一个元素，使其与场上同名元素获得+2力量</t>
  </si>
  <si>
    <t>开战后，在最近的格子中召唤1个火元素</t>
  </si>
  <si>
    <t>开战后，在最近的两个格子中分别召唤1个火元素</t>
  </si>
  <si>
    <t>水元素</t>
  </si>
  <si>
    <t>场上每有1个火元素，就使全体元素临时+20攻击</t>
  </si>
  <si>
    <t>场上每有1个火元素，就使全体元素临时+40攻击</t>
  </si>
  <si>
    <t>无魔者</t>
  </si>
  <si>
    <t>开战后，每1个轮次临时获得+2力量</t>
  </si>
  <si>
    <t>开战后，每1个轮次临时获得+3力量</t>
  </si>
  <si>
    <t>飞毯法师</t>
  </si>
  <si>
    <t>入场时，祝福一个指定单位，使其获得+1力量</t>
  </si>
  <si>
    <t>入场时，祝福一个指定单位，使其获得+2力量</t>
  </si>
  <si>
    <t>傀儡魔灵</t>
  </si>
  <si>
    <t>离场时，元素和艾瑞信仰者获得+1力量（无论他们在哪儿）</t>
  </si>
  <si>
    <t>离场时，元素和艾瑞信仰者获得+2力量（无论他们在哪儿）</t>
  </si>
  <si>
    <t>无论他们在哪儿：包括商店、手牌、阵上和战场，且会叠加，例如商店中默认火元素攻击为100，触发傀儡魔灵的离场效果后，商店中每次出现的默认火元素的攻击就变成了102，如果继续触发，那么商店中每次出现的默认火元素的攻击就变成了104</t>
  </si>
  <si>
    <t>风元素</t>
  </si>
  <si>
    <t>场上至少有4个甘德单位，给所有单位临时+2速度</t>
  </si>
  <si>
    <t>开战后，如果己方有单位速度大于8，则这个单位可以连续攻击2次</t>
  </si>
  <si>
    <t>开战后，如果己方有单位速度大于8，则这个单位可以连续攻击3次</t>
  </si>
  <si>
    <t>土元素</t>
  </si>
  <si>
    <t>每离场4个魔灵，全体元素获得+1力量</t>
  </si>
  <si>
    <t>每离场2个魔灵，全体元素获得+1力量</t>
  </si>
  <si>
    <t>开战后，力量最少的单位可以临时获得土元素的全部力量</t>
  </si>
  <si>
    <t>开战后，力量最少的单位可以临时获得两倍土元素的全部力量</t>
  </si>
  <si>
    <t>学院园丁</t>
  </si>
  <si>
    <t>每有1个元素在战斗中阵亡，剩下的元素临时获得1点力量</t>
  </si>
  <si>
    <t>每有1个元素在战斗中阵亡，剩下的元素临时获得2点力量</t>
  </si>
  <si>
    <t>魔导师</t>
  </si>
  <si>
    <t>每次获得力量时，全军获得+1力量</t>
  </si>
  <si>
    <t>每次获得力量时，全军获得+2力量</t>
  </si>
  <si>
    <t>元素大师</t>
  </si>
  <si>
    <t>每次攻击后，在最近的格子中召唤1个火元素，这个火元素阵亡后，此技能才会再次生效</t>
  </si>
  <si>
    <t>每次攻击后，在最近的2个格子中各召唤1个火元素，这两个火元素都阵亡后，此技能才会再次生效</t>
  </si>
  <si>
    <t>魔尊</t>
  </si>
  <si>
    <t>获得力量时，将获得的力量数值变成攻击X10，并随机转移给场上的任意一个单位</t>
  </si>
  <si>
    <t>获得力量时，将获得的力量数值变成攻击X20，并随机转移给场上的任意一个单位</t>
  </si>
  <si>
    <t>开战后，自身获得1个护盾，能够抵挡1次伤害，3个轮次后，技能重新释放</t>
  </si>
  <si>
    <t>开战后，自身获得1个护盾，能够抵挡1次伤害，2个轮次后，技能重新释放</t>
  </si>
  <si>
    <t>大魔灵</t>
  </si>
  <si>
    <t>离场时，场上的元素和法师均获得+1力量</t>
  </si>
  <si>
    <t>离场时，场上的元素和法师均获得+2力量</t>
  </si>
  <si>
    <t>魔法龙</t>
  </si>
  <si>
    <t>开战后，在最近的3个格子中分别召唤1个火元素，并给战场中的全体火元素临时+1力量</t>
  </si>
  <si>
    <t>开战后，在最近的3个格子中分别召唤1个火元素，并给战场中的全体火元素临时+2力量</t>
  </si>
  <si>
    <t>林地卫兵</t>
  </si>
  <si>
    <t>甘席</t>
  </si>
  <si>
    <t>入场时，获得1颗【密林宝钻】</t>
  </si>
  <si>
    <t>入场时，获得2颗【密林宝钻】</t>
  </si>
  <si>
    <t>游骑兵</t>
  </si>
  <si>
    <t>回合结束时，获得+10攻击
被赐予5颗【密林宝钻】则进阶为精锐游骑兵</t>
  </si>
  <si>
    <t>回合结束时，获得+20攻击
被赐予5颗【密林宝钻】则进阶为精锐游骑兵</t>
  </si>
  <si>
    <t>精锐游骑兵</t>
  </si>
  <si>
    <t>回合结束时，获得+15攻击</t>
  </si>
  <si>
    <t>回合结束时，获得+25攻击</t>
  </si>
  <si>
    <t>开战后，临时获得50点士气</t>
  </si>
  <si>
    <t>开战后，临时获得100点士气</t>
  </si>
  <si>
    <t>林地密探</t>
  </si>
  <si>
    <t>离场时，获得2颗【密林宝钻】</t>
  </si>
  <si>
    <t>离场时，获得4颗【密林宝钻】</t>
  </si>
  <si>
    <t>游侠</t>
  </si>
  <si>
    <t>入场时，获得1颗【密林宝钻】
场上单位总计获得50攻击后，进阶为神剑游侠</t>
  </si>
  <si>
    <t>入场时，获得2颗【密林宝钻】
场上单位总计获得50攻击后，进阶为神剑游侠</t>
  </si>
  <si>
    <t>神剑游侠</t>
  </si>
  <si>
    <t>每获得1次【密林宝钻】，获得+15攻击</t>
  </si>
  <si>
    <t>每获得1次【密林宝钻】，获得+30攻击</t>
  </si>
  <si>
    <t>受到攻击后如果存活，下回合开始时，获得1颗【密林宝钻】</t>
  </si>
  <si>
    <t>受到攻击后如果存活，下回合开始时，获得2颗【密林宝钻】</t>
  </si>
  <si>
    <t>机警后援</t>
  </si>
  <si>
    <t>回合结束时，前一排所有单位获得+20攻击和并赐予他们1颗【密林宝钻】</t>
  </si>
  <si>
    <t>回合结束时，前一排所有单位获得+40攻击和并赐予他们2颗【密林宝钻】</t>
  </si>
  <si>
    <t>河边队长</t>
  </si>
  <si>
    <t>入场时，左右两侧的单位被赐予1颗【密林宝钻】</t>
  </si>
  <si>
    <t>入场时，左右两侧的单位被赐予2颗【密林宝钻】</t>
  </si>
  <si>
    <t>高翎守望者</t>
  </si>
  <si>
    <t>任意单位上阵时，获得1颗【密林宝钻】</t>
  </si>
  <si>
    <t>任意单位上阵时，获得2颗【密林宝钻】</t>
  </si>
  <si>
    <t>攻击时，有额外25%概率产生暴击</t>
  </si>
  <si>
    <t>攻击时，有额外35%概率产生暴击</t>
  </si>
  <si>
    <t>弓箭手</t>
  </si>
  <si>
    <t>射手</t>
  </si>
  <si>
    <t>每被赐予1颗【密林宝钻】额外获得+10攻击
被赐予5颗【密林宝钻】则进阶为幻影射手</t>
  </si>
  <si>
    <t>每被赐予1颗【密林宝钻】额外获得+20攻击
被赐予5颗【密林宝钻】则进阶为幻影射手</t>
  </si>
  <si>
    <t>幻影射手</t>
  </si>
  <si>
    <t>其他单位被出售时，被出售单位被赐予的所有【密林宝钻】都会转移给本单位</t>
  </si>
  <si>
    <t>其他单位被出售时，获得+10攻击，被出售单位被赐予的所有【密林宝钻】都会转移给本单位</t>
  </si>
  <si>
    <t>首次攻击改为原地朝敌方最后排的一个单位射出一箭，如果幻影射手被赐予过20颗【密林宝钻】，则此箭必定造成3倍暴击</t>
  </si>
  <si>
    <t>首次攻击改为原地朝敌方最后排的一个单位射出一箭，如果幻影射手被赐予过20颗【密林宝钻】，则此箭必定造成6倍暴击</t>
  </si>
  <si>
    <t>蓄力射击期间无法进行移动和其他操作</t>
  </si>
  <si>
    <t>掘地鼠</t>
  </si>
  <si>
    <t>任意单位进阶时，本单位被赐予1颗【密林宝钻】并获得1颗【密林宝钻】</t>
  </si>
  <si>
    <t>任意单位进阶时，本单位被赐予2颗【密林宝钻】并获得2颗【密林宝钻】</t>
  </si>
  <si>
    <t>开战后，进入潜行状态，首次攻击造成5倍攻击的伤害，然后退出潜行状态</t>
  </si>
  <si>
    <t>佣兵队长</t>
  </si>
  <si>
    <t>场上任意单位获得攻击时，【密林宝钻】提供的攻击额外+1</t>
  </si>
  <si>
    <t>场上任意单位获得攻击时，【密林宝钻】提供的攻击额外+2</t>
  </si>
  <si>
    <t>每次攻击都会对额外的1个单位产生伤害，无论那个单位有多远</t>
  </si>
  <si>
    <t>每次攻击都会对额外的2个单位产生伤害，无论那2个单位有多远</t>
  </si>
  <si>
    <t>羽卫</t>
  </si>
  <si>
    <t>回合结束时，如果手牌中没有【密林宝钻】，获得+10攻击</t>
  </si>
  <si>
    <t>回合结束时，如果手牌中没有【密林宝钻】，获得+20攻击</t>
  </si>
  <si>
    <t>每次可以攻击最多2名单位
被精锐羽林卫攻击过的单位如果死亡，下回合开始获得1颗【密林宝钻】</t>
  </si>
  <si>
    <t>每次可以攻击最多4名单位
被精锐羽林卫攻击过的单位如果死亡，下回合开始获得1颗【密林宝钻】</t>
  </si>
  <si>
    <t>林地将军</t>
  </si>
  <si>
    <t>阵上每发生赐予【密林宝钻】的行为累计5次，所有阵上单位获得+30攻击</t>
  </si>
  <si>
    <t>阵上每发生赐予【密林宝钻】的行为累计5次，所有阵上单位获得+60攻击</t>
  </si>
  <si>
    <t>猎豹</t>
  </si>
  <si>
    <t>阵上每发生赐予【密林宝钻】的行为累计15次，所有阵上单位力量+1</t>
  </si>
  <si>
    <t>如果阵亡，下回合开始时获得1颗【密林宝钻】</t>
  </si>
  <si>
    <t>如果阵亡，下回合开始时获得2颗【密林宝钻】</t>
  </si>
  <si>
    <t>双塔术士</t>
  </si>
  <si>
    <t>回合结束时，获得3颗【密林宝钻】</t>
  </si>
  <si>
    <t>回合结束时，获得6颗【密林宝钻】</t>
  </si>
  <si>
    <t>如果我方单位被赐予的【密林宝钻】总数超过50，则每次攻击都会造成周围2距离内的范围伤害</t>
  </si>
  <si>
    <t>如果我方单位被赐予的【密林宝钻】总数超过50，则每次攻击都会造成周围3距离内的范围伤害</t>
  </si>
  <si>
    <t>席林迪翁</t>
  </si>
  <si>
    <t>获得【密林宝钻】时，将自动赐予本单位，然后使所有阵上单位获得+10攻击</t>
  </si>
  <si>
    <t>获得【密林宝钻】时，将自动赐予本单位，然后使所有阵上单位获得+20攻击</t>
  </si>
  <si>
    <t>淤魔</t>
  </si>
  <si>
    <t>回合结束时，本单位被赐予3颗【密林宝钻】
被赐予10颗【密林宝钻】则进阶为血淤魔</t>
  </si>
  <si>
    <t>回合结束时，本单位被赐予6颗【密林宝钻】
被赐予10颗【密林宝钻】则进阶为血淤魔</t>
  </si>
  <si>
    <t>血淤魔</t>
  </si>
  <si>
    <t>每当有单位获得攻击（无论在场上、手牌还是商店），【密林宝钻】提供的攻击+10</t>
  </si>
  <si>
    <t>每当有单位获得攻击（无论在场上、手牌还是商店），【密林宝钻】提供的攻击+20</t>
  </si>
  <si>
    <t>开战后，将敌方1名血量最多的单位锁住，使其无法移动，但可以攻击和反击，持续2个轮次</t>
  </si>
  <si>
    <t>开战后，将敌方1名血量最多的单位锁住，使其无法移动，但可以攻击和反击，持续3个轮次</t>
  </si>
  <si>
    <t>格尔兽</t>
  </si>
  <si>
    <t>甘格尔</t>
  </si>
  <si>
    <t>野兽</t>
  </si>
  <si>
    <t>入场时，随机吞噬商店中的一张卡牌，获得其攻击的一半</t>
  </si>
  <si>
    <t>入场时：随机吞噬商店中的一张卡牌，获得其全部攻击</t>
  </si>
  <si>
    <t>战场中所有格尔兽的攻击都会变成和最高攻击的格尔兽一样</t>
  </si>
  <si>
    <t>格尔步兵</t>
  </si>
  <si>
    <t>克苏鲁</t>
  </si>
  <si>
    <t>入场时，召唤1张鱼人奴仆卡牌到手牌区</t>
  </si>
  <si>
    <t>入场时：召唤2张鱼人奴仆卡牌到手牌区</t>
  </si>
  <si>
    <t>鱼人奴仆</t>
  </si>
  <si>
    <t>离场时，随机1个甘格尔单位触发1次入场效果
格尔步兵的入场效果除外</t>
  </si>
  <si>
    <t>离场时，随机2个甘格尔单位触发1次入场效果
格尔步兵的入场效果除外</t>
  </si>
  <si>
    <t>苦工</t>
  </si>
  <si>
    <t>回合结束时，获得+10攻击
出售时，如果攻击≥100，则售价变为2金币</t>
  </si>
  <si>
    <t>回合结束时，获得+10攻击
出售时，如果攻击≥100，则售价变为4金币</t>
  </si>
  <si>
    <t>叫唤者</t>
  </si>
  <si>
    <t>入场时，使商店的卡牌获得+10攻击</t>
  </si>
  <si>
    <t>入场时：使商店的卡牌获得+20攻击</t>
  </si>
  <si>
    <t>打手</t>
  </si>
  <si>
    <t>触发1次任意入场效果，获得+10攻击</t>
  </si>
  <si>
    <t>触发1次任意入场效果，获得+20攻击</t>
  </si>
  <si>
    <t>蘑菇夸库</t>
  </si>
  <si>
    <t>回合结束时，临时获得左右两侧单位中攻击较高一方的攻击</t>
  </si>
  <si>
    <t>回合结束时，临时获得左右两侧单位的攻击</t>
  </si>
  <si>
    <t>雪狮</t>
  </si>
  <si>
    <t>入场时，使场上的野兽获得+15攻击</t>
  </si>
  <si>
    <t>入场时，使场上的野兽获得+25攻击</t>
  </si>
  <si>
    <t>首次攻击改为瞬间猛扑到最近的敌人，并造成3倍的伤害</t>
  </si>
  <si>
    <t>首次攻击改为瞬间猛扑到最近的敌人，并造成6倍的伤害</t>
  </si>
  <si>
    <t>驯兽师</t>
  </si>
  <si>
    <t>累计触发10次任意入场效果，变为兽骑兵</t>
  </si>
  <si>
    <t>累计触发5次任意入场效果，变为兽骑兵</t>
  </si>
  <si>
    <t>开战后，在最近的1个格子中召唤1只格尔兽参加战斗，战场中所有格尔兽的攻击都会变成和最高攻击的格尔兽一样</t>
  </si>
  <si>
    <t>开战后，在最近的2个格子中分别召唤1只格尔兽参加战斗，战场中所有格尔兽的攻击都会变成和最高攻击的格尔兽一样</t>
  </si>
  <si>
    <t>劣徒</t>
  </si>
  <si>
    <t>获得攻击时，都会使相邻的1个的单位重新触发1次入场效果（每回合限1次）</t>
  </si>
  <si>
    <t>获得攻击时，都会使相邻的2个的单位重新触发1次入场效果（每回合限1次）</t>
  </si>
  <si>
    <t>兽骑兵</t>
  </si>
  <si>
    <t>触发1次任意入场效果，自身和后1排所有单位获得+20攻击</t>
  </si>
  <si>
    <t>触发1次任意入场效果，自身和后1排所有单位获得+30攻击</t>
  </si>
  <si>
    <t>阵亡后，原地召唤1只格尔兽，战场中所有格尔兽的攻击都会变成和最高攻击的格尔兽一样</t>
  </si>
  <si>
    <t>阵亡后，在原地和最近的1个格子中分别会召唤1只格尔兽，战场中所有格尔兽的攻击都会变成和最高攻击的格尔兽一样</t>
  </si>
  <si>
    <t>驱魔师坐骑</t>
  </si>
  <si>
    <t>回合结束时，吞噬商店中攻击最高的单位，获得其攻击</t>
  </si>
  <si>
    <t>回合结束时，吞噬商店中攻击最高的单位，获得其2倍的攻击</t>
  </si>
  <si>
    <t>每攻击3次，选取最近敌人的位置召唤一阵范围半径为3的火雨，对其中的每个敌人每0.5秒造成1次伤害，持续2秒</t>
  </si>
  <si>
    <t>每攻击2次，选取最近敌人的位置召唤一阵范围半径为3的火雨，对其中的每个敌人每0.5秒造成1次伤害，持续2秒</t>
  </si>
  <si>
    <t>召唤火雨期间无法进行移动和其他操作</t>
  </si>
  <si>
    <t>痛苦火苗</t>
  </si>
  <si>
    <t>如果阵亡，则以自身为中心产生1次半径为3格的爆炸伤害，如果波及至少3个敌人，则下回合开始全军获得+5攻击</t>
  </si>
  <si>
    <t>如果阵亡，则以自身为中心产生1次半径为6格的爆炸伤害，如果波及至少3个敌人，则下回合开始全军获得+10攻击</t>
  </si>
  <si>
    <t>阴暗屠夫</t>
  </si>
  <si>
    <t>每入场一个甘格尔单位，都会随机吞噬一个商店中的单位，获得其攻击</t>
  </si>
  <si>
    <t>每入场一个甘格尔单位，都会随机吞噬一个商店中的单位，获得其2倍攻击</t>
  </si>
  <si>
    <t>攻击时，有15%概率给自己制造一个护盾，可完全抵挡下一次的伤害，护盾不能叠加</t>
  </si>
  <si>
    <t>攻击时，有25%概率给自己制造一个护盾，可完全抵挡下一次的伤害，护盾不能叠加</t>
  </si>
  <si>
    <t>苦嚎叫兽</t>
  </si>
  <si>
    <t>入场时，场上所有甘格尔单位各吞噬一个商店中的单位，获得其攻击</t>
  </si>
  <si>
    <t>入场时，场上所有甘格尔单位各吞噬一个商店中的单位，获得其2倍攻击</t>
  </si>
  <si>
    <t>酒鬼</t>
  </si>
  <si>
    <t>如果阵亡，则下回合开始，所有商店的卡牌都将获得+10攻击</t>
  </si>
  <si>
    <t>如果阵亡，则下回合开始，所有商店的卡牌都将获得+20攻击</t>
  </si>
  <si>
    <t>格尔军官</t>
  </si>
  <si>
    <t>入场时，随机吞噬1只在场的野兽的复制，获得其攻击</t>
  </si>
  <si>
    <t>入场时，随机吞噬2只在场的野兽的复制，获得其攻击</t>
  </si>
  <si>
    <t>格尔巨兽</t>
  </si>
  <si>
    <t>回合结束时，所有野兽各吞噬商店中的一个单位，获得其攻击</t>
  </si>
  <si>
    <t>回合结束时，所有野兽各吞噬商店中的一个单位，获得其2倍攻击</t>
  </si>
  <si>
    <t>邪恶女巫</t>
  </si>
  <si>
    <t>场上每发生一次吞噬，全军获得+10攻击</t>
  </si>
  <si>
    <t>场上每发生一次吞噬，全军获得+20攻击</t>
  </si>
  <si>
    <t>开战后，如果场上有格尔兽，则临时骑上最近一只格尔兽，变成巫兽师，直到战斗结束
巫兽师获得邪恶女巫和格尔兽额外加成的攻击、防御和力量</t>
  </si>
  <si>
    <t>巫兽师</t>
  </si>
  <si>
    <t>每次攻击都会对额外最近的3个单位产生伤害，无论他们有多远</t>
  </si>
  <si>
    <t>士气+5，每次攻击都会对额外最近的4个单位产生伤害，无论他们有多远</t>
  </si>
  <si>
    <t>id</t>
  </si>
  <si>
    <t>name</t>
  </si>
  <si>
    <t>star</t>
  </si>
  <si>
    <t>race</t>
  </si>
  <si>
    <t>type</t>
  </si>
  <si>
    <t>typeLabel</t>
  </si>
  <si>
    <t>attack</t>
  </si>
  <si>
    <t>defense</t>
  </si>
  <si>
    <t>power</t>
  </si>
  <si>
    <t>attackInterval</t>
  </si>
  <si>
    <t>tags</t>
  </si>
  <si>
    <t>1星造成1次伤害</t>
  </si>
  <si>
    <t>2星造成1次伤害</t>
  </si>
  <si>
    <t>3星造成1次伤害</t>
  </si>
  <si>
    <t>4星造成1次伤害</t>
  </si>
  <si>
    <t>5星造成1次伤害</t>
  </si>
  <si>
    <t>6星造成1次伤害</t>
  </si>
  <si>
    <t>monk</t>
  </si>
  <si>
    <t>法系</t>
  </si>
  <si>
    <t>对1星</t>
  </si>
  <si>
    <t>对2星</t>
  </si>
  <si>
    <t>对3星</t>
  </si>
  <si>
    <t>对4星</t>
  </si>
  <si>
    <t>对5星</t>
  </si>
  <si>
    <t>对6星</t>
  </si>
  <si>
    <t>一句话定位</t>
  </si>
  <si>
    <t>经营阶段特点</t>
  </si>
  <si>
    <t>主要属性依赖</t>
  </si>
  <si>
    <t>关键词</t>
  </si>
  <si>
    <t>最容易和哪类体系混搭</t>
  </si>
  <si>
    <t>最怕什么弱点</t>
  </si>
  <si>
    <t>战斗中成长</t>
  </si>
  <si>
    <t>摆好站位，交给战斗中来成长</t>
  </si>
  <si>
    <t>攻击、士气</t>
  </si>
  <si>
    <t>战斗中</t>
  </si>
  <si>
    <t>和甘格尔、潮行者混搭</t>
  </si>
  <si>
    <t>控制类技能，血少</t>
  </si>
  <si>
    <t>连锁反应，通过其他卡牌的行为，加强全体</t>
  </si>
  <si>
    <t>疯狂买卖牌来全体成长</t>
  </si>
  <si>
    <t>离场</t>
  </si>
  <si>
    <t>和费斯门、潮行者混搭（被吞噬掉的也算离场）</t>
  </si>
  <si>
    <t>削弱力量的对手</t>
  </si>
  <si>
    <t>战斗中以召唤单位为特色</t>
  </si>
  <si>
    <t>回合结束阶段的自成长</t>
  </si>
  <si>
    <t>攻击间隔、幸运</t>
  </si>
  <si>
    <t>回合结束</t>
  </si>
  <si>
    <t>和甘格尔、格尔蛙人混搭，自成长+buff</t>
  </si>
  <si>
    <t>均衡形</t>
  </si>
  <si>
    <t>肉盾居多</t>
  </si>
  <si>
    <t>有护盾机智，成长慢，但护盾多</t>
  </si>
  <si>
    <t>生命、攻击</t>
  </si>
  <si>
    <t>护盾</t>
  </si>
  <si>
    <t>和格尔蛙人、潮行者混搭</t>
  </si>
  <si>
    <t>破盾法术，群体破盾</t>
  </si>
  <si>
    <t>费斯门</t>
  </si>
  <si>
    <t>经营阶段以牺牲队友来换取成长</t>
  </si>
  <si>
    <t>吞噬其他卡牌来成长</t>
  </si>
  <si>
    <t>幸运、力量</t>
  </si>
  <si>
    <t>吞噬</t>
  </si>
  <si>
    <t>和甘德混搭</t>
  </si>
  <si>
    <t>秒杀型刺客（类似酒馆战棋的剧毒）</t>
  </si>
  <si>
    <t>格尔蛙人</t>
  </si>
  <si>
    <t>多辅助单位，可与其他势力多结合更强</t>
  </si>
  <si>
    <t>多以吸附到他人单位身上为特点（类似酒馆战棋的磁力）</t>
  </si>
  <si>
    <t>附体</t>
  </si>
  <si>
    <t>和甘格尔、甘席混搭</t>
  </si>
  <si>
    <t>成长缓慢</t>
  </si>
  <si>
    <t>潮行者</t>
  </si>
  <si>
    <t>嘲讽类技能、远程技能居多</t>
  </si>
  <si>
    <t>光环波及到的位置有成长</t>
  </si>
  <si>
    <t>力量、防御</t>
  </si>
  <si>
    <t>潮汐</t>
  </si>
  <si>
    <t>和甘地、甘德、甘格尔混搭</t>
  </si>
  <si>
    <t>切后排单位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</si>
</sst>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00B0F0"/>
      <name val="微软雅黑"/>
      <charset val="134"/>
    </font>
    <font>
      <sz val="9"/>
      <color rgb="FFFF0000"/>
      <name val="微软雅黑"/>
      <charset val="134"/>
    </font>
    <font>
      <sz val="9"/>
      <color theme="7" tint="-0.25"/>
      <name val="微软雅黑"/>
      <charset val="134"/>
    </font>
    <font>
      <sz val="9"/>
      <color rgb="FF7030A0"/>
      <name val="微软雅黑"/>
      <charset val="134"/>
    </font>
    <font>
      <sz val="9"/>
      <color rgb="FFC00000"/>
      <name val="微软雅黑"/>
      <charset val="134"/>
    </font>
    <font>
      <u/>
      <sz val="14"/>
      <color rgb="FF0000FF"/>
      <name val="宋体"/>
      <charset val="0"/>
      <scheme val="minor"/>
    </font>
    <font>
      <u/>
      <sz val="14"/>
      <color rgb="FF800080"/>
      <name val="宋体"/>
      <charset val="0"/>
      <scheme val="minor"/>
    </font>
    <font>
      <sz val="14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4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sz val="14"/>
      <color rgb="FF3F3F76"/>
      <name val="宋体"/>
      <charset val="0"/>
      <scheme val="minor"/>
    </font>
    <font>
      <b/>
      <sz val="14"/>
      <color rgb="FF3F3F3F"/>
      <name val="宋体"/>
      <charset val="0"/>
      <scheme val="minor"/>
    </font>
    <font>
      <b/>
      <sz val="14"/>
      <color rgb="FFFA7D00"/>
      <name val="宋体"/>
      <charset val="0"/>
      <scheme val="minor"/>
    </font>
    <font>
      <b/>
      <sz val="14"/>
      <color rgb="FFFFFFFF"/>
      <name val="宋体"/>
      <charset val="0"/>
      <scheme val="minor"/>
    </font>
    <font>
      <sz val="14"/>
      <color rgb="FFFA7D00"/>
      <name val="宋体"/>
      <charset val="0"/>
      <scheme val="minor"/>
    </font>
    <font>
      <b/>
      <sz val="14"/>
      <color theme="1"/>
      <name val="宋体"/>
      <charset val="0"/>
      <scheme val="minor"/>
    </font>
    <font>
      <sz val="14"/>
      <color rgb="FF006100"/>
      <name val="宋体"/>
      <charset val="0"/>
      <scheme val="minor"/>
    </font>
    <font>
      <sz val="14"/>
      <color rgb="FF9C0006"/>
      <name val="宋体"/>
      <charset val="0"/>
      <scheme val="minor"/>
    </font>
    <font>
      <sz val="14"/>
      <color rgb="FF9C6500"/>
      <name val="宋体"/>
      <charset val="0"/>
      <scheme val="minor"/>
    </font>
    <font>
      <sz val="14"/>
      <color theme="0"/>
      <name val="宋体"/>
      <charset val="0"/>
      <scheme val="minor"/>
    </font>
    <font>
      <sz val="14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7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8" borderId="6">
      <alignment vertical="center"/>
    </xf>
    <xf numFmtId="0" fontId="18" fillId="9" borderId="7">
      <alignment vertical="center"/>
    </xf>
    <xf numFmtId="0" fontId="19" fillId="9" borderId="6">
      <alignment vertical="center"/>
    </xf>
    <xf numFmtId="0" fontId="20" fillId="10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176" fontId="3" fillId="2" borderId="2" xfId="0" applyNumberFormat="1" applyFont="1" applyFill="1" applyBorder="1" applyAlignment="1">
      <alignment vertical="top"/>
    </xf>
    <xf numFmtId="0" fontId="0" fillId="0" borderId="0" xfId="0" applyAlignment="1">
      <alignment horizontal="left" vertical="center"/>
    </xf>
    <xf numFmtId="0" fontId="3" fillId="4" borderId="0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3"/>
  <sheetViews>
    <sheetView tabSelected="1" workbookViewId="0">
      <pane xSplit="2" ySplit="2" topLeftCell="I4" activePane="bottomRight" state="frozen"/>
      <selection/>
      <selection pane="topRight"/>
      <selection pane="bottomLeft"/>
      <selection pane="bottomRight" activeCell="J9" sqref="J9"/>
    </sheetView>
  </sheetViews>
  <sheetFormatPr defaultColWidth="9.02654867256637" defaultRowHeight="48" customHeight="1"/>
  <cols>
    <col min="1" max="1" width="11.858407079646" style="16" customWidth="1"/>
    <col min="2" max="7" width="9.02654867256637" style="16" customWidth="1"/>
    <col min="8" max="11" width="25.4955752212389" style="17" customWidth="1"/>
    <col min="12" max="20" width="9.02654867256637" style="16" customWidth="1"/>
    <col min="21" max="21" width="46.0884955752212" style="18" customWidth="1"/>
    <col min="22" max="16379" width="9.02654867256637" style="18" customWidth="1"/>
    <col min="16380" max="16384" width="9.02654867256637" style="18"/>
  </cols>
  <sheetData>
    <row r="1" ht="23" customHeight="1" spans="1:2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9"/>
    </row>
    <row r="2" ht="23" customHeight="1" spans="1:21">
      <c r="A2" s="17" t="s">
        <v>20</v>
      </c>
      <c r="B2" s="17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32</v>
      </c>
      <c r="N2" s="17" t="s">
        <v>33</v>
      </c>
      <c r="O2" s="17" t="s">
        <v>34</v>
      </c>
      <c r="P2" s="17" t="s">
        <v>35</v>
      </c>
      <c r="Q2" s="17" t="s">
        <v>36</v>
      </c>
      <c r="R2" s="17" t="s">
        <v>37</v>
      </c>
      <c r="S2" s="17" t="s">
        <v>38</v>
      </c>
      <c r="T2" s="17" t="s">
        <v>39</v>
      </c>
      <c r="U2" s="19" t="s">
        <v>40</v>
      </c>
    </row>
    <row r="3" s="13" customFormat="1" customHeight="1" spans="1:21">
      <c r="A3" s="20" t="s">
        <v>41</v>
      </c>
      <c r="B3" s="20">
        <v>1</v>
      </c>
      <c r="C3" s="20" t="s">
        <v>42</v>
      </c>
      <c r="D3" s="20" t="s">
        <v>43</v>
      </c>
      <c r="E3" s="20" t="s">
        <v>44</v>
      </c>
      <c r="F3" s="20" t="s">
        <v>43</v>
      </c>
      <c r="G3" s="20">
        <v>2</v>
      </c>
      <c r="H3" s="21"/>
      <c r="I3" s="21" t="s">
        <v>45</v>
      </c>
      <c r="J3" s="20" t="s">
        <v>46</v>
      </c>
      <c r="K3" s="20" t="s">
        <v>47</v>
      </c>
      <c r="L3" s="22">
        <v>200</v>
      </c>
      <c r="M3" s="22">
        <v>90</v>
      </c>
      <c r="N3" s="22">
        <v>10</v>
      </c>
      <c r="O3" s="22">
        <v>1</v>
      </c>
      <c r="P3" s="20">
        <v>3</v>
      </c>
      <c r="Q3" s="20">
        <v>0</v>
      </c>
      <c r="R3" s="20">
        <v>2</v>
      </c>
      <c r="S3" s="20">
        <v>8</v>
      </c>
      <c r="T3" s="20">
        <v>1</v>
      </c>
      <c r="U3" s="21"/>
    </row>
    <row r="4" s="13" customFormat="1" customHeight="1" spans="1:21">
      <c r="A4" s="20" t="s">
        <v>48</v>
      </c>
      <c r="B4" s="20">
        <v>1</v>
      </c>
      <c r="C4" s="20" t="s">
        <v>42</v>
      </c>
      <c r="D4" s="20" t="s">
        <v>49</v>
      </c>
      <c r="E4" s="20" t="s">
        <v>50</v>
      </c>
      <c r="F4" s="20" t="s">
        <v>43</v>
      </c>
      <c r="G4" s="20">
        <v>12</v>
      </c>
      <c r="H4" s="20" t="s">
        <v>51</v>
      </c>
      <c r="I4" s="20" t="s">
        <v>52</v>
      </c>
      <c r="J4" s="20"/>
      <c r="K4" s="20"/>
      <c r="L4" s="22">
        <v>260</v>
      </c>
      <c r="M4" s="22">
        <v>110</v>
      </c>
      <c r="N4" s="22">
        <v>10</v>
      </c>
      <c r="O4" s="22">
        <v>1</v>
      </c>
      <c r="P4" s="20">
        <v>5</v>
      </c>
      <c r="Q4" s="20">
        <v>0</v>
      </c>
      <c r="R4" s="20">
        <v>1</v>
      </c>
      <c r="S4" s="20">
        <v>1</v>
      </c>
      <c r="T4" s="20">
        <v>1</v>
      </c>
      <c r="U4" s="21" t="s">
        <v>53</v>
      </c>
    </row>
    <row r="5" s="13" customFormat="1" customHeight="1" spans="1:21">
      <c r="A5" s="20" t="s">
        <v>54</v>
      </c>
      <c r="B5" s="20">
        <v>1</v>
      </c>
      <c r="C5" s="20" t="s">
        <v>42</v>
      </c>
      <c r="D5" s="20" t="s">
        <v>55</v>
      </c>
      <c r="E5" s="20" t="s">
        <v>50</v>
      </c>
      <c r="F5" s="20" t="s">
        <v>43</v>
      </c>
      <c r="G5" s="20">
        <v>12</v>
      </c>
      <c r="H5" s="20" t="s">
        <v>56</v>
      </c>
      <c r="I5" s="20" t="s">
        <v>57</v>
      </c>
      <c r="J5" s="20" t="s">
        <v>45</v>
      </c>
      <c r="K5" s="20" t="s">
        <v>45</v>
      </c>
      <c r="L5" s="22">
        <v>220</v>
      </c>
      <c r="M5" s="22">
        <v>85</v>
      </c>
      <c r="N5" s="22">
        <v>10</v>
      </c>
      <c r="O5" s="22">
        <v>1</v>
      </c>
      <c r="P5" s="20">
        <v>6</v>
      </c>
      <c r="Q5" s="20">
        <v>1</v>
      </c>
      <c r="R5" s="20">
        <v>1</v>
      </c>
      <c r="S5" s="20">
        <v>1</v>
      </c>
      <c r="T5" s="20">
        <v>1</v>
      </c>
      <c r="U5" s="21"/>
    </row>
    <row r="6" s="13" customFormat="1" customHeight="1" spans="1:21">
      <c r="A6" s="20" t="s">
        <v>58</v>
      </c>
      <c r="B6" s="20">
        <v>2</v>
      </c>
      <c r="C6" s="20" t="s">
        <v>42</v>
      </c>
      <c r="D6" s="20" t="s">
        <v>43</v>
      </c>
      <c r="E6" s="20" t="s">
        <v>44</v>
      </c>
      <c r="F6" s="20" t="s">
        <v>43</v>
      </c>
      <c r="G6" s="20">
        <v>12</v>
      </c>
      <c r="H6" s="20" t="s">
        <v>59</v>
      </c>
      <c r="I6" s="20" t="s">
        <v>60</v>
      </c>
      <c r="J6" s="20" t="s">
        <v>61</v>
      </c>
      <c r="K6" s="20" t="s">
        <v>62</v>
      </c>
      <c r="L6" s="22">
        <v>210</v>
      </c>
      <c r="M6" s="22">
        <v>100</v>
      </c>
      <c r="N6" s="22">
        <v>10</v>
      </c>
      <c r="O6" s="22">
        <v>2</v>
      </c>
      <c r="P6" s="20">
        <v>3</v>
      </c>
      <c r="Q6" s="20">
        <v>2</v>
      </c>
      <c r="R6" s="20">
        <v>1</v>
      </c>
      <c r="S6" s="20">
        <v>8</v>
      </c>
      <c r="T6" s="20">
        <v>1</v>
      </c>
      <c r="U6" s="21"/>
    </row>
    <row r="7" s="13" customFormat="1" customHeight="1" spans="1:21">
      <c r="A7" s="20" t="s">
        <v>63</v>
      </c>
      <c r="B7" s="20">
        <v>2</v>
      </c>
      <c r="C7" s="20" t="s">
        <v>42</v>
      </c>
      <c r="D7" s="20" t="s">
        <v>64</v>
      </c>
      <c r="E7" s="20" t="s">
        <v>50</v>
      </c>
      <c r="F7" s="20" t="s">
        <v>43</v>
      </c>
      <c r="G7" s="20">
        <v>12</v>
      </c>
      <c r="H7" s="20" t="s">
        <v>65</v>
      </c>
      <c r="I7" s="20" t="s">
        <v>65</v>
      </c>
      <c r="J7" s="20" t="s">
        <v>66</v>
      </c>
      <c r="K7" s="20" t="s">
        <v>67</v>
      </c>
      <c r="L7" s="22">
        <v>260</v>
      </c>
      <c r="M7" s="22">
        <v>100</v>
      </c>
      <c r="N7" s="22">
        <v>10</v>
      </c>
      <c r="O7" s="22">
        <v>1</v>
      </c>
      <c r="P7" s="20">
        <v>3</v>
      </c>
      <c r="Q7" s="20">
        <v>0</v>
      </c>
      <c r="R7" s="20">
        <v>1</v>
      </c>
      <c r="S7" s="20">
        <v>8</v>
      </c>
      <c r="T7" s="20">
        <v>1</v>
      </c>
      <c r="U7" s="21"/>
    </row>
    <row r="8" s="13" customFormat="1" customHeight="1" spans="1:21">
      <c r="A8" s="20" t="s">
        <v>68</v>
      </c>
      <c r="B8" s="20">
        <v>2</v>
      </c>
      <c r="C8" s="20" t="s">
        <v>42</v>
      </c>
      <c r="D8" s="20" t="s">
        <v>49</v>
      </c>
      <c r="E8" s="20" t="s">
        <v>50</v>
      </c>
      <c r="F8" s="20" t="s">
        <v>43</v>
      </c>
      <c r="G8" s="20">
        <v>12</v>
      </c>
      <c r="H8" s="21" t="s">
        <v>69</v>
      </c>
      <c r="I8" s="21" t="s">
        <v>70</v>
      </c>
      <c r="J8" s="20" t="s">
        <v>71</v>
      </c>
      <c r="K8" s="20" t="s">
        <v>72</v>
      </c>
      <c r="L8" s="22">
        <v>300</v>
      </c>
      <c r="M8" s="22">
        <v>120</v>
      </c>
      <c r="N8" s="22">
        <v>10</v>
      </c>
      <c r="O8" s="22">
        <v>2</v>
      </c>
      <c r="P8" s="20">
        <v>6</v>
      </c>
      <c r="Q8" s="20">
        <v>1</v>
      </c>
      <c r="R8" s="20">
        <v>2</v>
      </c>
      <c r="S8" s="20">
        <v>1</v>
      </c>
      <c r="T8" s="20">
        <v>1</v>
      </c>
      <c r="U8" s="21" t="s">
        <v>73</v>
      </c>
    </row>
    <row r="9" s="13" customFormat="1" customHeight="1" spans="1:21">
      <c r="A9" s="20" t="s">
        <v>74</v>
      </c>
      <c r="B9" s="20">
        <v>3</v>
      </c>
      <c r="C9" s="20" t="s">
        <v>42</v>
      </c>
      <c r="D9" s="20" t="s">
        <v>43</v>
      </c>
      <c r="E9" s="20" t="s">
        <v>44</v>
      </c>
      <c r="F9" s="20" t="s">
        <v>43</v>
      </c>
      <c r="G9" s="20">
        <v>8</v>
      </c>
      <c r="H9" s="20" t="s">
        <v>75</v>
      </c>
      <c r="I9" s="20" t="s">
        <v>76</v>
      </c>
      <c r="J9" s="20" t="s">
        <v>77</v>
      </c>
      <c r="K9" s="20" t="s">
        <v>78</v>
      </c>
      <c r="L9" s="22">
        <v>240</v>
      </c>
      <c r="M9" s="22">
        <v>80</v>
      </c>
      <c r="N9" s="22">
        <v>10</v>
      </c>
      <c r="O9" s="22">
        <v>2</v>
      </c>
      <c r="P9" s="20">
        <v>5</v>
      </c>
      <c r="Q9" s="20">
        <v>3</v>
      </c>
      <c r="R9" s="20">
        <v>1</v>
      </c>
      <c r="S9" s="20">
        <v>1</v>
      </c>
      <c r="T9" s="20">
        <v>1</v>
      </c>
      <c r="U9" s="21" t="s">
        <v>79</v>
      </c>
    </row>
    <row r="10" s="13" customFormat="1" customHeight="1" spans="1:21">
      <c r="A10" s="20" t="s">
        <v>80</v>
      </c>
      <c r="B10" s="20">
        <v>3</v>
      </c>
      <c r="C10" s="20" t="s">
        <v>42</v>
      </c>
      <c r="D10" s="20" t="s">
        <v>64</v>
      </c>
      <c r="E10" s="20" t="s">
        <v>50</v>
      </c>
      <c r="F10" s="20" t="s">
        <v>43</v>
      </c>
      <c r="G10" s="20">
        <v>8</v>
      </c>
      <c r="H10" s="21" t="s">
        <v>81</v>
      </c>
      <c r="I10" s="21" t="s">
        <v>82</v>
      </c>
      <c r="J10" s="20" t="s">
        <v>83</v>
      </c>
      <c r="K10" s="20" t="s">
        <v>84</v>
      </c>
      <c r="L10" s="22">
        <v>300</v>
      </c>
      <c r="M10" s="22">
        <v>125</v>
      </c>
      <c r="N10" s="22">
        <v>10</v>
      </c>
      <c r="O10" s="22">
        <v>3</v>
      </c>
      <c r="P10" s="20">
        <v>3</v>
      </c>
      <c r="Q10" s="20">
        <v>2</v>
      </c>
      <c r="R10" s="20">
        <v>1</v>
      </c>
      <c r="S10" s="20">
        <v>4</v>
      </c>
      <c r="T10" s="20">
        <v>1</v>
      </c>
      <c r="U10" s="21"/>
    </row>
    <row r="11" s="13" customFormat="1" customHeight="1" spans="1:21">
      <c r="A11" s="20" t="s">
        <v>85</v>
      </c>
      <c r="B11" s="20">
        <v>3</v>
      </c>
      <c r="C11" s="20" t="s">
        <v>42</v>
      </c>
      <c r="D11" s="20" t="s">
        <v>43</v>
      </c>
      <c r="E11" s="20" t="s">
        <v>44</v>
      </c>
      <c r="F11" s="20" t="s">
        <v>43</v>
      </c>
      <c r="G11" s="20">
        <v>8</v>
      </c>
      <c r="H11" s="20" t="s">
        <v>86</v>
      </c>
      <c r="I11" s="20" t="s">
        <v>87</v>
      </c>
      <c r="J11" s="20" t="s">
        <v>45</v>
      </c>
      <c r="K11" s="20" t="s">
        <v>45</v>
      </c>
      <c r="L11" s="22">
        <v>310</v>
      </c>
      <c r="M11" s="22">
        <v>140</v>
      </c>
      <c r="N11" s="22">
        <v>10</v>
      </c>
      <c r="O11" s="22">
        <v>3</v>
      </c>
      <c r="P11" s="20">
        <v>5</v>
      </c>
      <c r="Q11" s="20">
        <v>3</v>
      </c>
      <c r="R11" s="20">
        <v>2</v>
      </c>
      <c r="S11" s="20">
        <v>6</v>
      </c>
      <c r="T11" s="20">
        <v>1</v>
      </c>
      <c r="U11" s="21"/>
    </row>
    <row r="12" s="13" customFormat="1" customHeight="1" spans="1:21">
      <c r="A12" s="20" t="s">
        <v>88</v>
      </c>
      <c r="B12" s="20">
        <v>4</v>
      </c>
      <c r="C12" s="20" t="s">
        <v>42</v>
      </c>
      <c r="D12" s="20" t="s">
        <v>49</v>
      </c>
      <c r="E12" s="20" t="s">
        <v>44</v>
      </c>
      <c r="F12" s="20" t="s">
        <v>43</v>
      </c>
      <c r="G12" s="20">
        <v>5</v>
      </c>
      <c r="H12" s="20" t="s">
        <v>89</v>
      </c>
      <c r="I12" s="20" t="s">
        <v>90</v>
      </c>
      <c r="J12" s="20" t="s">
        <v>91</v>
      </c>
      <c r="K12" s="20" t="s">
        <v>92</v>
      </c>
      <c r="L12" s="22">
        <v>400</v>
      </c>
      <c r="M12" s="22">
        <v>165</v>
      </c>
      <c r="N12" s="22">
        <v>10</v>
      </c>
      <c r="O12" s="22">
        <v>4</v>
      </c>
      <c r="P12" s="20">
        <v>5</v>
      </c>
      <c r="Q12" s="20">
        <v>3</v>
      </c>
      <c r="R12" s="20">
        <v>3</v>
      </c>
      <c r="S12" s="20">
        <v>1</v>
      </c>
      <c r="T12" s="20">
        <v>1</v>
      </c>
      <c r="U12" s="21"/>
    </row>
    <row r="13" s="13" customFormat="1" customHeight="1" spans="1:21">
      <c r="A13" s="20" t="s">
        <v>93</v>
      </c>
      <c r="B13" s="20">
        <v>4</v>
      </c>
      <c r="C13" s="20" t="s">
        <v>42</v>
      </c>
      <c r="D13" s="20" t="s">
        <v>64</v>
      </c>
      <c r="E13" s="20" t="s">
        <v>50</v>
      </c>
      <c r="F13" s="20" t="s">
        <v>43</v>
      </c>
      <c r="G13" s="20">
        <v>5</v>
      </c>
      <c r="H13" s="20" t="s">
        <v>45</v>
      </c>
      <c r="I13" s="20" t="s">
        <v>45</v>
      </c>
      <c r="J13" s="20" t="s">
        <v>94</v>
      </c>
      <c r="K13" s="20" t="s">
        <v>95</v>
      </c>
      <c r="L13" s="22">
        <v>360</v>
      </c>
      <c r="M13" s="22">
        <v>160</v>
      </c>
      <c r="N13" s="22">
        <v>10</v>
      </c>
      <c r="O13" s="22">
        <v>4</v>
      </c>
      <c r="P13" s="20">
        <v>3</v>
      </c>
      <c r="Q13" s="20">
        <v>2</v>
      </c>
      <c r="R13" s="20">
        <v>1</v>
      </c>
      <c r="S13" s="20">
        <v>8</v>
      </c>
      <c r="T13" s="20">
        <v>1</v>
      </c>
      <c r="U13" s="21"/>
    </row>
    <row r="14" s="13" customFormat="1" customHeight="1" spans="1:21">
      <c r="A14" s="20" t="s">
        <v>96</v>
      </c>
      <c r="B14" s="20">
        <v>5</v>
      </c>
      <c r="C14" s="20" t="s">
        <v>42</v>
      </c>
      <c r="D14" s="20" t="s">
        <v>49</v>
      </c>
      <c r="E14" s="20" t="s">
        <v>44</v>
      </c>
      <c r="F14" s="20" t="s">
        <v>43</v>
      </c>
      <c r="G14" s="20">
        <v>3</v>
      </c>
      <c r="H14" s="20" t="s">
        <v>97</v>
      </c>
      <c r="I14" s="20" t="s">
        <v>98</v>
      </c>
      <c r="J14" s="20" t="s">
        <v>99</v>
      </c>
      <c r="K14" s="20" t="s">
        <v>100</v>
      </c>
      <c r="L14" s="22">
        <v>420</v>
      </c>
      <c r="M14" s="22">
        <v>165</v>
      </c>
      <c r="N14" s="22">
        <v>10</v>
      </c>
      <c r="O14" s="22">
        <v>2</v>
      </c>
      <c r="P14" s="20">
        <v>3</v>
      </c>
      <c r="Q14" s="20">
        <v>3</v>
      </c>
      <c r="R14" s="20">
        <v>3</v>
      </c>
      <c r="S14" s="20">
        <v>1</v>
      </c>
      <c r="T14" s="20">
        <v>1</v>
      </c>
      <c r="U14" s="21"/>
    </row>
    <row r="15" s="13" customFormat="1" customHeight="1" spans="1:21">
      <c r="A15" s="20" t="s">
        <v>101</v>
      </c>
      <c r="B15" s="20">
        <v>5</v>
      </c>
      <c r="C15" s="20" t="s">
        <v>42</v>
      </c>
      <c r="D15" s="20" t="s">
        <v>43</v>
      </c>
      <c r="E15" s="20" t="s">
        <v>50</v>
      </c>
      <c r="F15" s="20" t="s">
        <v>43</v>
      </c>
      <c r="G15" s="20">
        <v>3</v>
      </c>
      <c r="H15" s="20"/>
      <c r="I15" s="20"/>
      <c r="J15" s="20" t="s">
        <v>102</v>
      </c>
      <c r="K15" s="20" t="s">
        <v>103</v>
      </c>
      <c r="L15" s="22">
        <v>400</v>
      </c>
      <c r="M15" s="22">
        <v>100</v>
      </c>
      <c r="N15" s="22">
        <v>10</v>
      </c>
      <c r="O15" s="22">
        <v>3</v>
      </c>
      <c r="P15" s="20">
        <v>3</v>
      </c>
      <c r="Q15" s="20">
        <v>1</v>
      </c>
      <c r="R15" s="20">
        <v>1</v>
      </c>
      <c r="S15" s="20">
        <v>5</v>
      </c>
      <c r="T15" s="20">
        <v>1</v>
      </c>
      <c r="U15" s="21"/>
    </row>
    <row r="16" s="13" customFormat="1" customHeight="1" spans="1:21">
      <c r="A16" s="20" t="s">
        <v>104</v>
      </c>
      <c r="B16" s="20">
        <v>6</v>
      </c>
      <c r="C16" s="20" t="s">
        <v>42</v>
      </c>
      <c r="D16" s="20" t="s">
        <v>49</v>
      </c>
      <c r="E16" s="20" t="s">
        <v>44</v>
      </c>
      <c r="F16" s="20" t="s">
        <v>43</v>
      </c>
      <c r="G16" s="20">
        <v>3</v>
      </c>
      <c r="H16" s="20" t="s">
        <v>105</v>
      </c>
      <c r="I16" s="20" t="s">
        <v>106</v>
      </c>
      <c r="J16" s="20" t="s">
        <v>45</v>
      </c>
      <c r="K16" s="20" t="s">
        <v>45</v>
      </c>
      <c r="L16" s="22">
        <v>600</v>
      </c>
      <c r="M16" s="22">
        <v>175</v>
      </c>
      <c r="N16" s="22">
        <v>10</v>
      </c>
      <c r="O16" s="22">
        <v>5</v>
      </c>
      <c r="P16" s="20">
        <v>3</v>
      </c>
      <c r="Q16" s="20">
        <v>2</v>
      </c>
      <c r="R16" s="20">
        <v>2</v>
      </c>
      <c r="S16" s="20">
        <v>1</v>
      </c>
      <c r="T16" s="20">
        <v>1</v>
      </c>
      <c r="U16" s="21"/>
    </row>
    <row r="17" s="13" customFormat="1" customHeight="1" spans="1:21">
      <c r="A17" s="20" t="s">
        <v>107</v>
      </c>
      <c r="B17" s="20">
        <v>6</v>
      </c>
      <c r="C17" s="20" t="s">
        <v>42</v>
      </c>
      <c r="D17" s="20" t="s">
        <v>43</v>
      </c>
      <c r="E17" s="20" t="s">
        <v>50</v>
      </c>
      <c r="F17" s="20" t="s">
        <v>43</v>
      </c>
      <c r="G17" s="20">
        <v>3</v>
      </c>
      <c r="H17" s="20" t="s">
        <v>45</v>
      </c>
      <c r="I17" s="20" t="s">
        <v>45</v>
      </c>
      <c r="J17" s="20" t="s">
        <v>108</v>
      </c>
      <c r="K17" s="20" t="s">
        <v>109</v>
      </c>
      <c r="L17" s="22">
        <v>420</v>
      </c>
      <c r="M17" s="22">
        <v>220</v>
      </c>
      <c r="N17" s="22">
        <v>10</v>
      </c>
      <c r="O17" s="22">
        <v>6</v>
      </c>
      <c r="P17" s="20">
        <v>6</v>
      </c>
      <c r="Q17" s="20">
        <v>2</v>
      </c>
      <c r="R17" s="20">
        <v>3</v>
      </c>
      <c r="S17" s="20">
        <v>1</v>
      </c>
      <c r="T17" s="20">
        <v>1</v>
      </c>
      <c r="U17" s="21"/>
    </row>
    <row r="18" s="14" customFormat="1" customHeight="1" spans="1:21">
      <c r="A18" s="23" t="s">
        <v>110</v>
      </c>
      <c r="B18" s="23">
        <v>1</v>
      </c>
      <c r="C18" s="23" t="s">
        <v>111</v>
      </c>
      <c r="D18" s="23" t="s">
        <v>55</v>
      </c>
      <c r="E18" s="23" t="s">
        <v>44</v>
      </c>
      <c r="F18" s="23" t="s">
        <v>43</v>
      </c>
      <c r="G18" s="23">
        <v>12</v>
      </c>
      <c r="H18" s="23" t="s">
        <v>112</v>
      </c>
      <c r="I18" s="23" t="s">
        <v>113</v>
      </c>
      <c r="J18" s="23" t="s">
        <v>45</v>
      </c>
      <c r="K18" s="23" t="s">
        <v>45</v>
      </c>
      <c r="L18" s="24">
        <v>180</v>
      </c>
      <c r="M18" s="24">
        <v>120</v>
      </c>
      <c r="N18" s="24">
        <v>10</v>
      </c>
      <c r="O18" s="24">
        <v>1</v>
      </c>
      <c r="P18" s="23">
        <v>2</v>
      </c>
      <c r="Q18" s="23">
        <v>1</v>
      </c>
      <c r="R18" s="23">
        <v>0</v>
      </c>
      <c r="S18" s="23">
        <v>6</v>
      </c>
      <c r="T18" s="23">
        <v>1</v>
      </c>
      <c r="U18" s="25"/>
    </row>
    <row r="19" s="14" customFormat="1" customHeight="1" spans="1:21">
      <c r="A19" s="23" t="s">
        <v>114</v>
      </c>
      <c r="B19" s="23">
        <v>1</v>
      </c>
      <c r="C19" s="23" t="s">
        <v>111</v>
      </c>
      <c r="D19" s="23" t="s">
        <v>64</v>
      </c>
      <c r="E19" s="23" t="s">
        <v>115</v>
      </c>
      <c r="F19" s="23" t="s">
        <v>43</v>
      </c>
      <c r="G19" s="23">
        <v>12</v>
      </c>
      <c r="H19" s="23" t="s">
        <v>116</v>
      </c>
      <c r="I19" s="23" t="s">
        <v>117</v>
      </c>
      <c r="J19" s="23"/>
      <c r="K19" s="23" t="s">
        <v>118</v>
      </c>
      <c r="L19" s="24">
        <v>220</v>
      </c>
      <c r="M19" s="24">
        <v>70</v>
      </c>
      <c r="N19" s="24">
        <v>10</v>
      </c>
      <c r="O19" s="24">
        <v>2</v>
      </c>
      <c r="P19" s="23">
        <v>3</v>
      </c>
      <c r="Q19" s="23">
        <v>0</v>
      </c>
      <c r="R19" s="23">
        <v>1</v>
      </c>
      <c r="S19" s="23">
        <v>8</v>
      </c>
      <c r="T19" s="23">
        <v>1</v>
      </c>
      <c r="U19" s="25"/>
    </row>
    <row r="20" s="14" customFormat="1" customHeight="1" spans="1:21">
      <c r="A20" s="23" t="s">
        <v>119</v>
      </c>
      <c r="B20" s="23">
        <v>1</v>
      </c>
      <c r="C20" s="23" t="s">
        <v>111</v>
      </c>
      <c r="D20" s="23" t="s">
        <v>120</v>
      </c>
      <c r="E20" s="23" t="s">
        <v>44</v>
      </c>
      <c r="F20" s="23" t="s">
        <v>43</v>
      </c>
      <c r="G20" s="23">
        <v>12</v>
      </c>
      <c r="H20" s="23" t="s">
        <v>121</v>
      </c>
      <c r="I20" s="23" t="s">
        <v>122</v>
      </c>
      <c r="J20" s="23" t="s">
        <v>123</v>
      </c>
      <c r="K20" s="23" t="s">
        <v>124</v>
      </c>
      <c r="L20" s="24">
        <v>160</v>
      </c>
      <c r="M20" s="24">
        <v>120</v>
      </c>
      <c r="N20" s="24">
        <v>10</v>
      </c>
      <c r="O20" s="24">
        <v>1</v>
      </c>
      <c r="P20" s="23">
        <v>5</v>
      </c>
      <c r="Q20" s="23">
        <v>2</v>
      </c>
      <c r="R20" s="23">
        <v>1</v>
      </c>
      <c r="S20" s="23">
        <v>1</v>
      </c>
      <c r="T20" s="23">
        <v>1</v>
      </c>
      <c r="U20" s="25"/>
    </row>
    <row r="21" s="14" customFormat="1" customHeight="1" spans="1:21">
      <c r="A21" s="23" t="s">
        <v>125</v>
      </c>
      <c r="B21" s="23">
        <v>2</v>
      </c>
      <c r="C21" s="23" t="s">
        <v>111</v>
      </c>
      <c r="D21" s="23" t="s">
        <v>64</v>
      </c>
      <c r="E21" s="23" t="s">
        <v>115</v>
      </c>
      <c r="F21" s="23" t="s">
        <v>43</v>
      </c>
      <c r="G21" s="23">
        <v>8</v>
      </c>
      <c r="H21" s="23" t="s">
        <v>126</v>
      </c>
      <c r="I21" s="23" t="s">
        <v>127</v>
      </c>
      <c r="J21" s="23" t="s">
        <v>128</v>
      </c>
      <c r="K21" s="23" t="s">
        <v>129</v>
      </c>
      <c r="L21" s="24">
        <v>190</v>
      </c>
      <c r="M21" s="24">
        <v>100</v>
      </c>
      <c r="N21" s="24">
        <v>10</v>
      </c>
      <c r="O21" s="24">
        <v>2</v>
      </c>
      <c r="P21" s="23">
        <v>3</v>
      </c>
      <c r="Q21" s="23">
        <v>1</v>
      </c>
      <c r="R21" s="23">
        <v>2</v>
      </c>
      <c r="S21" s="23">
        <v>1</v>
      </c>
      <c r="T21" s="23">
        <v>1</v>
      </c>
      <c r="U21" s="25"/>
    </row>
    <row r="22" s="14" customFormat="1" customHeight="1" spans="1:21">
      <c r="A22" s="23" t="s">
        <v>130</v>
      </c>
      <c r="B22" s="23">
        <v>2</v>
      </c>
      <c r="C22" s="23" t="s">
        <v>111</v>
      </c>
      <c r="D22" s="23" t="s">
        <v>120</v>
      </c>
      <c r="E22" s="23" t="s">
        <v>44</v>
      </c>
      <c r="F22" s="23" t="s">
        <v>43</v>
      </c>
      <c r="G22" s="23">
        <v>8</v>
      </c>
      <c r="H22" s="23" t="s">
        <v>131</v>
      </c>
      <c r="I22" s="23" t="s">
        <v>132</v>
      </c>
      <c r="J22" s="23" t="s">
        <v>45</v>
      </c>
      <c r="K22" s="23" t="s">
        <v>45</v>
      </c>
      <c r="L22" s="24">
        <v>220</v>
      </c>
      <c r="M22" s="24">
        <v>120</v>
      </c>
      <c r="N22" s="24">
        <v>10</v>
      </c>
      <c r="O22" s="24">
        <v>2</v>
      </c>
      <c r="P22" s="23">
        <v>5</v>
      </c>
      <c r="Q22" s="23">
        <v>1</v>
      </c>
      <c r="R22" s="23">
        <v>1</v>
      </c>
      <c r="S22" s="23">
        <v>1</v>
      </c>
      <c r="T22" s="23">
        <v>1</v>
      </c>
      <c r="U22" s="25"/>
    </row>
    <row r="23" s="14" customFormat="1" customHeight="1" spans="1:21">
      <c r="A23" s="23" t="s">
        <v>133</v>
      </c>
      <c r="B23" s="23">
        <v>3</v>
      </c>
      <c r="C23" s="23" t="s">
        <v>111</v>
      </c>
      <c r="D23" s="23" t="s">
        <v>43</v>
      </c>
      <c r="E23" s="23" t="s">
        <v>44</v>
      </c>
      <c r="F23" s="23" t="s">
        <v>43</v>
      </c>
      <c r="G23" s="23">
        <v>5</v>
      </c>
      <c r="H23" s="23" t="s">
        <v>45</v>
      </c>
      <c r="I23" s="23" t="s">
        <v>45</v>
      </c>
      <c r="J23" s="23" t="s">
        <v>134</v>
      </c>
      <c r="K23" s="23" t="s">
        <v>135</v>
      </c>
      <c r="L23" s="24">
        <v>260</v>
      </c>
      <c r="M23" s="24">
        <v>180</v>
      </c>
      <c r="N23" s="24">
        <v>10</v>
      </c>
      <c r="O23" s="24">
        <v>1</v>
      </c>
      <c r="P23" s="23">
        <v>6</v>
      </c>
      <c r="Q23" s="23">
        <v>1</v>
      </c>
      <c r="R23" s="23">
        <v>0</v>
      </c>
      <c r="S23" s="23">
        <v>1</v>
      </c>
      <c r="T23" s="23">
        <v>1</v>
      </c>
      <c r="U23" s="25"/>
    </row>
    <row r="24" s="14" customFormat="1" customHeight="1" spans="1:21">
      <c r="A24" s="23" t="s">
        <v>136</v>
      </c>
      <c r="B24" s="23">
        <v>3</v>
      </c>
      <c r="C24" s="23" t="s">
        <v>111</v>
      </c>
      <c r="D24" s="23" t="s">
        <v>64</v>
      </c>
      <c r="E24" s="23" t="s">
        <v>115</v>
      </c>
      <c r="F24" s="23" t="s">
        <v>43</v>
      </c>
      <c r="G24" s="23">
        <v>5</v>
      </c>
      <c r="H24" s="23" t="s">
        <v>137</v>
      </c>
      <c r="I24" s="23" t="s">
        <v>138</v>
      </c>
      <c r="J24" s="23" t="s">
        <v>45</v>
      </c>
      <c r="K24" s="23" t="s">
        <v>45</v>
      </c>
      <c r="L24" s="24">
        <v>250</v>
      </c>
      <c r="M24" s="24">
        <v>40</v>
      </c>
      <c r="N24" s="24">
        <v>10</v>
      </c>
      <c r="O24" s="24">
        <v>3</v>
      </c>
      <c r="P24" s="23">
        <v>6</v>
      </c>
      <c r="Q24" s="23">
        <v>2</v>
      </c>
      <c r="R24" s="23">
        <v>1</v>
      </c>
      <c r="S24" s="23">
        <v>1</v>
      </c>
      <c r="T24" s="23">
        <v>1</v>
      </c>
      <c r="U24" s="25"/>
    </row>
    <row r="25" s="14" customFormat="1" customHeight="1" spans="1:21">
      <c r="A25" s="23" t="s">
        <v>139</v>
      </c>
      <c r="B25" s="23">
        <v>3</v>
      </c>
      <c r="C25" s="23" t="s">
        <v>111</v>
      </c>
      <c r="D25" s="23" t="s">
        <v>55</v>
      </c>
      <c r="E25" s="23" t="s">
        <v>44</v>
      </c>
      <c r="F25" s="23" t="s">
        <v>43</v>
      </c>
      <c r="G25" s="23">
        <v>5</v>
      </c>
      <c r="H25" s="23" t="s">
        <v>140</v>
      </c>
      <c r="I25" s="23" t="s">
        <v>141</v>
      </c>
      <c r="J25" s="23" t="s">
        <v>45</v>
      </c>
      <c r="K25" s="23" t="s">
        <v>45</v>
      </c>
      <c r="L25" s="24">
        <v>300</v>
      </c>
      <c r="M25" s="24">
        <v>140</v>
      </c>
      <c r="N25" s="24">
        <v>10</v>
      </c>
      <c r="O25" s="24">
        <v>3</v>
      </c>
      <c r="P25" s="23">
        <v>3</v>
      </c>
      <c r="Q25" s="23">
        <v>1</v>
      </c>
      <c r="R25" s="23">
        <v>3</v>
      </c>
      <c r="S25" s="23">
        <v>4</v>
      </c>
      <c r="T25" s="23">
        <v>1</v>
      </c>
      <c r="U25" s="25" t="s">
        <v>142</v>
      </c>
    </row>
    <row r="26" s="14" customFormat="1" customHeight="1" spans="1:21">
      <c r="A26" s="23" t="s">
        <v>143</v>
      </c>
      <c r="B26" s="23">
        <v>4</v>
      </c>
      <c r="C26" s="23" t="s">
        <v>111</v>
      </c>
      <c r="D26" s="23" t="s">
        <v>120</v>
      </c>
      <c r="E26" s="23" t="s">
        <v>44</v>
      </c>
      <c r="F26" s="23" t="s">
        <v>43</v>
      </c>
      <c r="G26" s="23">
        <v>5</v>
      </c>
      <c r="H26" s="23" t="s">
        <v>144</v>
      </c>
      <c r="I26" s="23" t="s">
        <v>144</v>
      </c>
      <c r="J26" s="23" t="s">
        <v>145</v>
      </c>
      <c r="K26" s="23" t="s">
        <v>146</v>
      </c>
      <c r="L26" s="24">
        <v>310</v>
      </c>
      <c r="M26" s="24">
        <v>80</v>
      </c>
      <c r="N26" s="24">
        <v>10</v>
      </c>
      <c r="O26" s="24">
        <v>2</v>
      </c>
      <c r="P26" s="23">
        <v>5</v>
      </c>
      <c r="Q26" s="23">
        <v>1</v>
      </c>
      <c r="R26" s="23">
        <v>2</v>
      </c>
      <c r="S26" s="23">
        <v>5</v>
      </c>
      <c r="T26" s="23">
        <v>1</v>
      </c>
      <c r="U26" s="25"/>
    </row>
    <row r="27" s="14" customFormat="1" customHeight="1" spans="1:21">
      <c r="A27" s="23" t="s">
        <v>147</v>
      </c>
      <c r="B27" s="23">
        <v>4</v>
      </c>
      <c r="C27" s="23" t="s">
        <v>111</v>
      </c>
      <c r="D27" s="23" t="s">
        <v>120</v>
      </c>
      <c r="E27" s="23" t="s">
        <v>44</v>
      </c>
      <c r="F27" s="23" t="s">
        <v>43</v>
      </c>
      <c r="G27" s="23">
        <v>5</v>
      </c>
      <c r="H27" s="23" t="s">
        <v>148</v>
      </c>
      <c r="I27" s="23" t="s">
        <v>149</v>
      </c>
      <c r="J27" s="23" t="s">
        <v>150</v>
      </c>
      <c r="K27" s="23" t="s">
        <v>151</v>
      </c>
      <c r="L27" s="24">
        <v>320</v>
      </c>
      <c r="M27" s="24">
        <v>200</v>
      </c>
      <c r="N27" s="24">
        <v>10</v>
      </c>
      <c r="O27" s="24">
        <v>1</v>
      </c>
      <c r="P27" s="23">
        <v>1</v>
      </c>
      <c r="Q27" s="23">
        <v>1</v>
      </c>
      <c r="R27" s="23">
        <v>1</v>
      </c>
      <c r="S27" s="23">
        <v>6</v>
      </c>
      <c r="T27" s="23">
        <v>1</v>
      </c>
      <c r="U27" s="25"/>
    </row>
    <row r="28" s="14" customFormat="1" customHeight="1" spans="1:21">
      <c r="A28" s="23" t="s">
        <v>152</v>
      </c>
      <c r="B28" s="23">
        <v>4</v>
      </c>
      <c r="C28" s="23" t="s">
        <v>111</v>
      </c>
      <c r="D28" s="23" t="s">
        <v>43</v>
      </c>
      <c r="E28" s="23" t="s">
        <v>115</v>
      </c>
      <c r="F28" s="23" t="s">
        <v>43</v>
      </c>
      <c r="G28" s="23">
        <v>5</v>
      </c>
      <c r="H28" s="23"/>
      <c r="I28" s="23"/>
      <c r="J28" s="23" t="s">
        <v>153</v>
      </c>
      <c r="K28" s="23" t="s">
        <v>154</v>
      </c>
      <c r="L28" s="24">
        <v>400</v>
      </c>
      <c r="M28" s="24">
        <v>100</v>
      </c>
      <c r="N28" s="24">
        <v>10</v>
      </c>
      <c r="O28" s="24">
        <v>2</v>
      </c>
      <c r="P28" s="23">
        <v>3</v>
      </c>
      <c r="Q28" s="23">
        <v>2</v>
      </c>
      <c r="R28" s="23">
        <v>1</v>
      </c>
      <c r="S28" s="23">
        <v>1</v>
      </c>
      <c r="T28" s="23">
        <v>1</v>
      </c>
      <c r="U28" s="25"/>
    </row>
    <row r="29" s="14" customFormat="1" customHeight="1" spans="1:21">
      <c r="A29" s="23" t="s">
        <v>155</v>
      </c>
      <c r="B29" s="23">
        <v>5</v>
      </c>
      <c r="C29" s="23" t="s">
        <v>111</v>
      </c>
      <c r="D29" s="23" t="s">
        <v>64</v>
      </c>
      <c r="E29" s="23" t="s">
        <v>115</v>
      </c>
      <c r="F29" s="23" t="s">
        <v>43</v>
      </c>
      <c r="G29" s="23">
        <v>3</v>
      </c>
      <c r="H29" s="23" t="s">
        <v>156</v>
      </c>
      <c r="I29" s="23" t="s">
        <v>157</v>
      </c>
      <c r="J29" s="23" t="s">
        <v>45</v>
      </c>
      <c r="K29" s="23" t="s">
        <v>45</v>
      </c>
      <c r="L29" s="24">
        <v>330</v>
      </c>
      <c r="M29" s="24">
        <v>155</v>
      </c>
      <c r="N29" s="24">
        <v>10</v>
      </c>
      <c r="O29" s="24">
        <v>4</v>
      </c>
      <c r="P29" s="23">
        <v>3</v>
      </c>
      <c r="Q29" s="23">
        <v>3</v>
      </c>
      <c r="R29" s="23">
        <v>2</v>
      </c>
      <c r="S29" s="23">
        <v>8</v>
      </c>
      <c r="T29" s="23">
        <v>1</v>
      </c>
      <c r="U29" s="25"/>
    </row>
    <row r="30" s="14" customFormat="1" customHeight="1" spans="1:21">
      <c r="A30" s="23" t="s">
        <v>158</v>
      </c>
      <c r="B30" s="23">
        <v>5</v>
      </c>
      <c r="C30" s="23" t="s">
        <v>111</v>
      </c>
      <c r="D30" s="23" t="s">
        <v>64</v>
      </c>
      <c r="E30" s="23" t="s">
        <v>115</v>
      </c>
      <c r="F30" s="23" t="s">
        <v>43</v>
      </c>
      <c r="G30" s="23">
        <v>3</v>
      </c>
      <c r="H30" s="25"/>
      <c r="I30" s="25"/>
      <c r="J30" s="23" t="s">
        <v>159</v>
      </c>
      <c r="K30" s="23" t="s">
        <v>160</v>
      </c>
      <c r="L30" s="24">
        <v>360</v>
      </c>
      <c r="M30" s="24">
        <v>60</v>
      </c>
      <c r="N30" s="24">
        <v>10</v>
      </c>
      <c r="O30" s="24">
        <v>3</v>
      </c>
      <c r="P30" s="23">
        <v>3</v>
      </c>
      <c r="Q30" s="23">
        <v>1</v>
      </c>
      <c r="R30" s="23">
        <v>1</v>
      </c>
      <c r="S30" s="23">
        <v>1</v>
      </c>
      <c r="T30" s="23">
        <v>1</v>
      </c>
      <c r="U30" s="25"/>
    </row>
    <row r="31" s="14" customFormat="1" customHeight="1" spans="1:21">
      <c r="A31" s="23" t="s">
        <v>161</v>
      </c>
      <c r="B31" s="23">
        <v>6</v>
      </c>
      <c r="C31" s="23" t="s">
        <v>111</v>
      </c>
      <c r="D31" s="23" t="s">
        <v>43</v>
      </c>
      <c r="E31" s="23" t="s">
        <v>115</v>
      </c>
      <c r="F31" s="23" t="s">
        <v>43</v>
      </c>
      <c r="G31" s="23">
        <v>3</v>
      </c>
      <c r="H31" s="23" t="s">
        <v>162</v>
      </c>
      <c r="I31" s="23" t="s">
        <v>163</v>
      </c>
      <c r="J31" s="23" t="s">
        <v>164</v>
      </c>
      <c r="K31" s="23" t="s">
        <v>165</v>
      </c>
      <c r="L31" s="24">
        <v>560</v>
      </c>
      <c r="M31" s="24">
        <v>130</v>
      </c>
      <c r="N31" s="24">
        <v>10</v>
      </c>
      <c r="O31" s="24">
        <v>5</v>
      </c>
      <c r="P31" s="23">
        <v>3</v>
      </c>
      <c r="Q31" s="23">
        <v>1</v>
      </c>
      <c r="R31" s="23">
        <v>1</v>
      </c>
      <c r="S31" s="23">
        <v>1</v>
      </c>
      <c r="T31" s="23">
        <v>1</v>
      </c>
      <c r="U31" s="25"/>
    </row>
    <row r="32" s="14" customFormat="1" customHeight="1" spans="1:21">
      <c r="A32" s="23" t="s">
        <v>166</v>
      </c>
      <c r="B32" s="23">
        <v>6</v>
      </c>
      <c r="C32" s="23" t="s">
        <v>111</v>
      </c>
      <c r="D32" s="23" t="s">
        <v>55</v>
      </c>
      <c r="E32" s="23" t="s">
        <v>44</v>
      </c>
      <c r="F32" s="23" t="s">
        <v>43</v>
      </c>
      <c r="G32" s="23">
        <v>3</v>
      </c>
      <c r="H32" s="23" t="s">
        <v>167</v>
      </c>
      <c r="I32" s="23" t="s">
        <v>168</v>
      </c>
      <c r="J32" s="23" t="s">
        <v>45</v>
      </c>
      <c r="K32" s="23" t="s">
        <v>45</v>
      </c>
      <c r="L32" s="24">
        <v>445</v>
      </c>
      <c r="M32" s="24">
        <v>300</v>
      </c>
      <c r="N32" s="24">
        <v>10</v>
      </c>
      <c r="O32" s="24">
        <v>4</v>
      </c>
      <c r="P32" s="23">
        <v>3</v>
      </c>
      <c r="Q32" s="23">
        <v>1</v>
      </c>
      <c r="R32" s="23">
        <v>1</v>
      </c>
      <c r="S32" s="23">
        <v>1</v>
      </c>
      <c r="T32" s="23">
        <v>1</v>
      </c>
      <c r="U32" s="25"/>
    </row>
    <row r="33" s="14" customFormat="1" customHeight="1" spans="1:21">
      <c r="A33" s="23" t="s">
        <v>169</v>
      </c>
      <c r="B33" s="23">
        <v>6</v>
      </c>
      <c r="C33" s="23" t="s">
        <v>111</v>
      </c>
      <c r="D33" s="23" t="s">
        <v>120</v>
      </c>
      <c r="E33" s="23" t="s">
        <v>44</v>
      </c>
      <c r="F33" s="23" t="s">
        <v>43</v>
      </c>
      <c r="G33" s="23">
        <v>3</v>
      </c>
      <c r="H33" s="23" t="s">
        <v>45</v>
      </c>
      <c r="I33" s="23" t="s">
        <v>45</v>
      </c>
      <c r="J33" s="23" t="s">
        <v>170</v>
      </c>
      <c r="K33" s="23" t="s">
        <v>171</v>
      </c>
      <c r="L33" s="24">
        <v>550</v>
      </c>
      <c r="M33" s="24">
        <v>250</v>
      </c>
      <c r="N33" s="24">
        <v>10</v>
      </c>
      <c r="O33" s="24">
        <v>5</v>
      </c>
      <c r="P33" s="23">
        <v>6</v>
      </c>
      <c r="Q33" s="23">
        <v>3</v>
      </c>
      <c r="R33" s="23">
        <v>1</v>
      </c>
      <c r="S33" s="23">
        <v>1</v>
      </c>
      <c r="T33" s="23">
        <v>1</v>
      </c>
      <c r="U33" s="25"/>
    </row>
    <row r="34" s="15" customFormat="1" customHeight="1" spans="1:21">
      <c r="A34" s="26" t="s">
        <v>172</v>
      </c>
      <c r="B34" s="26">
        <v>1</v>
      </c>
      <c r="C34" s="26" t="s">
        <v>173</v>
      </c>
      <c r="D34" s="26" t="s">
        <v>49</v>
      </c>
      <c r="E34" s="26" t="s">
        <v>44</v>
      </c>
      <c r="F34" s="26" t="s">
        <v>43</v>
      </c>
      <c r="G34" s="26">
        <v>12</v>
      </c>
      <c r="H34" s="27" t="s">
        <v>174</v>
      </c>
      <c r="I34" s="27" t="s">
        <v>175</v>
      </c>
      <c r="J34" s="26"/>
      <c r="K34" s="26"/>
      <c r="L34" s="28">
        <v>220</v>
      </c>
      <c r="M34" s="28">
        <v>120</v>
      </c>
      <c r="N34" s="28">
        <v>10</v>
      </c>
      <c r="O34" s="28">
        <v>1</v>
      </c>
      <c r="P34" s="26">
        <v>4</v>
      </c>
      <c r="Q34" s="26">
        <v>1</v>
      </c>
      <c r="R34" s="26">
        <v>0</v>
      </c>
      <c r="S34" s="26">
        <v>1</v>
      </c>
      <c r="T34" s="26">
        <v>1</v>
      </c>
      <c r="U34" s="29"/>
    </row>
    <row r="35" s="15" customFormat="1" customHeight="1" spans="1:21">
      <c r="A35" s="26" t="s">
        <v>176</v>
      </c>
      <c r="B35" s="26">
        <v>1</v>
      </c>
      <c r="C35" s="26" t="s">
        <v>173</v>
      </c>
      <c r="D35" s="26" t="s">
        <v>49</v>
      </c>
      <c r="E35" s="26" t="s">
        <v>44</v>
      </c>
      <c r="F35" s="26" t="s">
        <v>43</v>
      </c>
      <c r="G35" s="26">
        <v>12</v>
      </c>
      <c r="H35" s="26" t="s">
        <v>177</v>
      </c>
      <c r="I35" s="26" t="s">
        <v>178</v>
      </c>
      <c r="J35" s="26"/>
      <c r="K35" s="26"/>
      <c r="L35" s="28">
        <v>240</v>
      </c>
      <c r="M35" s="28">
        <v>90</v>
      </c>
      <c r="N35" s="28">
        <v>10</v>
      </c>
      <c r="O35" s="28">
        <v>1</v>
      </c>
      <c r="P35" s="26">
        <v>5</v>
      </c>
      <c r="Q35" s="26">
        <v>0</v>
      </c>
      <c r="R35" s="26">
        <v>1</v>
      </c>
      <c r="S35" s="26">
        <v>1</v>
      </c>
      <c r="T35" s="26">
        <v>1</v>
      </c>
      <c r="U35" s="29"/>
    </row>
    <row r="36" s="15" customFormat="1" customHeight="1" spans="1:21">
      <c r="A36" s="26" t="s">
        <v>179</v>
      </c>
      <c r="B36" s="26">
        <v>2</v>
      </c>
      <c r="C36" s="26" t="s">
        <v>173</v>
      </c>
      <c r="D36" s="26" t="s">
        <v>49</v>
      </c>
      <c r="E36" s="26" t="s">
        <v>44</v>
      </c>
      <c r="F36" s="26">
        <v>0</v>
      </c>
      <c r="G36" s="26">
        <v>12</v>
      </c>
      <c r="H36" s="26" t="s">
        <v>180</v>
      </c>
      <c r="I36" s="26" t="s">
        <v>181</v>
      </c>
      <c r="J36" s="30" t="s">
        <v>182</v>
      </c>
      <c r="K36" s="30" t="s">
        <v>183</v>
      </c>
      <c r="L36" s="28">
        <v>280</v>
      </c>
      <c r="M36" s="28">
        <v>100</v>
      </c>
      <c r="N36" s="28">
        <v>10</v>
      </c>
      <c r="O36" s="28">
        <v>1</v>
      </c>
      <c r="P36" s="26">
        <v>5</v>
      </c>
      <c r="Q36" s="26">
        <v>1</v>
      </c>
      <c r="R36" s="26">
        <v>1</v>
      </c>
      <c r="S36" s="26">
        <v>1</v>
      </c>
      <c r="T36" s="26">
        <v>1</v>
      </c>
      <c r="U36" s="29"/>
    </row>
    <row r="37" s="15" customFormat="1" customHeight="1" spans="1:21">
      <c r="A37" s="26" t="s">
        <v>184</v>
      </c>
      <c r="B37" s="26">
        <v>2</v>
      </c>
      <c r="C37" s="26" t="s">
        <v>173</v>
      </c>
      <c r="D37" s="26" t="s">
        <v>43</v>
      </c>
      <c r="E37" s="26" t="s">
        <v>44</v>
      </c>
      <c r="F37" s="26" t="s">
        <v>43</v>
      </c>
      <c r="G37" s="26">
        <v>12</v>
      </c>
      <c r="H37" s="27" t="s">
        <v>185</v>
      </c>
      <c r="I37" s="27" t="s">
        <v>186</v>
      </c>
      <c r="J37" s="26"/>
      <c r="K37" s="26"/>
      <c r="L37" s="28">
        <v>180</v>
      </c>
      <c r="M37" s="28">
        <v>90</v>
      </c>
      <c r="N37" s="28">
        <v>10</v>
      </c>
      <c r="O37" s="28">
        <v>2</v>
      </c>
      <c r="P37" s="26">
        <v>5</v>
      </c>
      <c r="Q37" s="26">
        <v>1</v>
      </c>
      <c r="R37" s="26">
        <v>2</v>
      </c>
      <c r="S37" s="26">
        <v>8</v>
      </c>
      <c r="T37" s="26">
        <v>1</v>
      </c>
      <c r="U37" s="29"/>
    </row>
    <row r="38" s="15" customFormat="1" customHeight="1" spans="1:21">
      <c r="A38" s="26" t="s">
        <v>187</v>
      </c>
      <c r="B38" s="26">
        <v>2</v>
      </c>
      <c r="C38" s="26" t="s">
        <v>173</v>
      </c>
      <c r="D38" s="26" t="s">
        <v>43</v>
      </c>
      <c r="E38" s="26" t="s">
        <v>44</v>
      </c>
      <c r="F38" s="26" t="s">
        <v>43</v>
      </c>
      <c r="G38" s="26">
        <v>12</v>
      </c>
      <c r="H38" s="27" t="s">
        <v>188</v>
      </c>
      <c r="I38" s="27" t="s">
        <v>189</v>
      </c>
      <c r="J38" s="26"/>
      <c r="K38" s="26"/>
      <c r="L38" s="28">
        <v>190</v>
      </c>
      <c r="M38" s="28">
        <v>110</v>
      </c>
      <c r="N38" s="28">
        <v>10</v>
      </c>
      <c r="O38" s="28">
        <v>2</v>
      </c>
      <c r="P38" s="26">
        <v>4</v>
      </c>
      <c r="Q38" s="26">
        <v>1</v>
      </c>
      <c r="R38" s="26">
        <v>0</v>
      </c>
      <c r="S38" s="26">
        <v>1</v>
      </c>
      <c r="T38" s="26">
        <v>1</v>
      </c>
      <c r="U38" s="29"/>
    </row>
    <row r="39" s="15" customFormat="1" customHeight="1" spans="1:21">
      <c r="A39" s="26" t="s">
        <v>190</v>
      </c>
      <c r="B39" s="26">
        <v>3</v>
      </c>
      <c r="C39" s="26" t="s">
        <v>173</v>
      </c>
      <c r="D39" s="26" t="s">
        <v>43</v>
      </c>
      <c r="E39" s="26" t="s">
        <v>44</v>
      </c>
      <c r="F39" s="26">
        <v>0</v>
      </c>
      <c r="G39" s="26">
        <v>8</v>
      </c>
      <c r="H39" s="26" t="s">
        <v>191</v>
      </c>
      <c r="I39" s="26" t="s">
        <v>192</v>
      </c>
      <c r="J39" s="27" t="s">
        <v>193</v>
      </c>
      <c r="K39" s="27" t="s">
        <v>194</v>
      </c>
      <c r="L39" s="28">
        <v>220</v>
      </c>
      <c r="M39" s="28">
        <v>120</v>
      </c>
      <c r="N39" s="28">
        <v>10</v>
      </c>
      <c r="O39" s="28">
        <v>2</v>
      </c>
      <c r="P39" s="26">
        <v>4</v>
      </c>
      <c r="Q39" s="26">
        <v>1</v>
      </c>
      <c r="R39" s="26">
        <v>1</v>
      </c>
      <c r="S39" s="26">
        <v>1</v>
      </c>
      <c r="T39" s="26">
        <v>1</v>
      </c>
      <c r="U39" s="29"/>
    </row>
    <row r="40" s="15" customFormat="1" customHeight="1" spans="1:21">
      <c r="A40" s="26" t="s">
        <v>195</v>
      </c>
      <c r="B40" s="26">
        <v>3</v>
      </c>
      <c r="C40" s="26" t="s">
        <v>173</v>
      </c>
      <c r="D40" s="26" t="s">
        <v>43</v>
      </c>
      <c r="E40" s="26" t="s">
        <v>44</v>
      </c>
      <c r="F40" s="26" t="s">
        <v>43</v>
      </c>
      <c r="G40" s="26">
        <v>8</v>
      </c>
      <c r="H40" s="26" t="s">
        <v>196</v>
      </c>
      <c r="I40" s="26" t="s">
        <v>197</v>
      </c>
      <c r="J40" s="26"/>
      <c r="K40" s="26"/>
      <c r="L40" s="28">
        <v>290</v>
      </c>
      <c r="M40" s="28">
        <v>40</v>
      </c>
      <c r="N40" s="28">
        <v>10</v>
      </c>
      <c r="O40" s="28">
        <v>3</v>
      </c>
      <c r="P40" s="26">
        <v>3</v>
      </c>
      <c r="Q40" s="26">
        <v>2</v>
      </c>
      <c r="R40" s="26">
        <v>1</v>
      </c>
      <c r="S40" s="26">
        <v>1</v>
      </c>
      <c r="T40" s="26">
        <v>1</v>
      </c>
      <c r="U40" s="29"/>
    </row>
    <row r="41" s="15" customFormat="1" customHeight="1" spans="1:21">
      <c r="A41" s="26" t="s">
        <v>198</v>
      </c>
      <c r="B41" s="26">
        <v>3</v>
      </c>
      <c r="C41" s="26" t="s">
        <v>173</v>
      </c>
      <c r="D41" s="26" t="s">
        <v>49</v>
      </c>
      <c r="E41" s="26" t="s">
        <v>44</v>
      </c>
      <c r="F41" s="26" t="s">
        <v>43</v>
      </c>
      <c r="G41" s="26">
        <v>8</v>
      </c>
      <c r="H41" s="26" t="s">
        <v>199</v>
      </c>
      <c r="I41" s="26" t="s">
        <v>200</v>
      </c>
      <c r="J41" s="26"/>
      <c r="K41" s="26"/>
      <c r="L41" s="28">
        <v>330</v>
      </c>
      <c r="M41" s="28">
        <v>160</v>
      </c>
      <c r="N41" s="28">
        <v>10</v>
      </c>
      <c r="O41" s="28">
        <v>3</v>
      </c>
      <c r="P41" s="26">
        <v>3</v>
      </c>
      <c r="Q41" s="26">
        <v>1</v>
      </c>
      <c r="R41" s="26">
        <v>3</v>
      </c>
      <c r="S41" s="26">
        <v>1</v>
      </c>
      <c r="T41" s="26">
        <v>1</v>
      </c>
      <c r="U41" s="29"/>
    </row>
    <row r="42" s="15" customFormat="1" customHeight="1" spans="1:21">
      <c r="A42" s="26" t="s">
        <v>201</v>
      </c>
      <c r="B42" s="26">
        <v>3</v>
      </c>
      <c r="C42" s="26" t="s">
        <v>173</v>
      </c>
      <c r="D42" s="26" t="s">
        <v>55</v>
      </c>
      <c r="E42" s="26" t="s">
        <v>44</v>
      </c>
      <c r="F42" s="26" t="s">
        <v>43</v>
      </c>
      <c r="G42" s="26">
        <v>8</v>
      </c>
      <c r="H42" s="27" t="s">
        <v>202</v>
      </c>
      <c r="I42" s="27" t="s">
        <v>203</v>
      </c>
      <c r="J42" s="26" t="s">
        <v>204</v>
      </c>
      <c r="K42" s="26" t="s">
        <v>205</v>
      </c>
      <c r="L42" s="28">
        <v>300</v>
      </c>
      <c r="M42" s="28">
        <v>80</v>
      </c>
      <c r="N42" s="28">
        <v>10</v>
      </c>
      <c r="O42" s="28">
        <v>3</v>
      </c>
      <c r="P42" s="26">
        <v>3</v>
      </c>
      <c r="Q42" s="26">
        <v>1</v>
      </c>
      <c r="R42" s="26">
        <v>2</v>
      </c>
      <c r="S42" s="26">
        <v>6</v>
      </c>
      <c r="T42" s="26">
        <v>1</v>
      </c>
      <c r="U42" s="29"/>
    </row>
    <row r="43" s="15" customFormat="1" customHeight="1" spans="1:21">
      <c r="A43" s="26" t="s">
        <v>206</v>
      </c>
      <c r="B43" s="26">
        <v>3</v>
      </c>
      <c r="C43" s="26" t="s">
        <v>173</v>
      </c>
      <c r="D43" s="26" t="s">
        <v>207</v>
      </c>
      <c r="E43" s="26" t="s">
        <v>44</v>
      </c>
      <c r="F43" s="26" t="s">
        <v>43</v>
      </c>
      <c r="G43" s="26">
        <v>8</v>
      </c>
      <c r="H43" s="31" t="s">
        <v>208</v>
      </c>
      <c r="I43" s="31" t="s">
        <v>209</v>
      </c>
      <c r="J43" s="26"/>
      <c r="K43" s="26"/>
      <c r="L43" s="28">
        <v>260</v>
      </c>
      <c r="M43" s="28">
        <v>100</v>
      </c>
      <c r="N43" s="28">
        <v>10</v>
      </c>
      <c r="O43" s="28">
        <v>2</v>
      </c>
      <c r="P43" s="26">
        <v>4</v>
      </c>
      <c r="Q43" s="26">
        <v>1</v>
      </c>
      <c r="R43" s="26">
        <v>1</v>
      </c>
      <c r="S43" s="26">
        <v>6</v>
      </c>
      <c r="T43" s="26">
        <v>1</v>
      </c>
      <c r="U43" s="29"/>
    </row>
    <row r="44" s="15" customFormat="1" customHeight="1" spans="1:21">
      <c r="A44" s="26" t="s">
        <v>210</v>
      </c>
      <c r="B44" s="26">
        <v>4</v>
      </c>
      <c r="C44" s="26" t="s">
        <v>173</v>
      </c>
      <c r="D44" s="26" t="s">
        <v>207</v>
      </c>
      <c r="E44" s="26" t="s">
        <v>44</v>
      </c>
      <c r="F44" s="26">
        <v>0</v>
      </c>
      <c r="G44" s="26">
        <v>5</v>
      </c>
      <c r="H44" s="26" t="s">
        <v>211</v>
      </c>
      <c r="I44" s="26" t="s">
        <v>212</v>
      </c>
      <c r="J44" s="26" t="s">
        <v>213</v>
      </c>
      <c r="K44" s="26" t="s">
        <v>214</v>
      </c>
      <c r="L44" s="28">
        <v>340</v>
      </c>
      <c r="M44" s="28">
        <v>140</v>
      </c>
      <c r="N44" s="28">
        <v>10</v>
      </c>
      <c r="O44" s="28">
        <v>2</v>
      </c>
      <c r="P44" s="26">
        <v>4</v>
      </c>
      <c r="Q44" s="26">
        <v>2</v>
      </c>
      <c r="R44" s="26">
        <v>1</v>
      </c>
      <c r="S44" s="26">
        <v>8</v>
      </c>
      <c r="T44" s="26">
        <v>1</v>
      </c>
      <c r="U44" s="29" t="s">
        <v>215</v>
      </c>
    </row>
    <row r="45" s="15" customFormat="1" customHeight="1" spans="1:21">
      <c r="A45" s="26" t="s">
        <v>216</v>
      </c>
      <c r="B45" s="26">
        <v>4</v>
      </c>
      <c r="C45" s="26" t="s">
        <v>173</v>
      </c>
      <c r="D45" s="26" t="s">
        <v>49</v>
      </c>
      <c r="E45" s="26" t="s">
        <v>44</v>
      </c>
      <c r="F45" s="26" t="s">
        <v>43</v>
      </c>
      <c r="G45" s="26">
        <v>5</v>
      </c>
      <c r="H45" s="27" t="s">
        <v>217</v>
      </c>
      <c r="I45" s="27" t="s">
        <v>218</v>
      </c>
      <c r="J45" s="26"/>
      <c r="K45" s="26" t="s">
        <v>219</v>
      </c>
      <c r="L45" s="28">
        <v>370</v>
      </c>
      <c r="M45" s="28">
        <v>190</v>
      </c>
      <c r="N45" s="28">
        <v>10</v>
      </c>
      <c r="O45" s="28">
        <v>3</v>
      </c>
      <c r="P45" s="26">
        <v>6</v>
      </c>
      <c r="Q45" s="26">
        <v>3</v>
      </c>
      <c r="R45" s="26">
        <v>2</v>
      </c>
      <c r="S45" s="26">
        <v>1</v>
      </c>
      <c r="T45" s="26">
        <v>1</v>
      </c>
      <c r="U45" s="29"/>
    </row>
    <row r="46" s="15" customFormat="1" customHeight="1" spans="1:21">
      <c r="A46" s="26" t="s">
        <v>220</v>
      </c>
      <c r="B46" s="26">
        <v>4</v>
      </c>
      <c r="C46" s="26" t="s">
        <v>173</v>
      </c>
      <c r="D46" s="26" t="s">
        <v>43</v>
      </c>
      <c r="E46" s="26" t="s">
        <v>44</v>
      </c>
      <c r="F46" s="26" t="s">
        <v>43</v>
      </c>
      <c r="G46" s="26">
        <v>5</v>
      </c>
      <c r="H46" s="32" t="s">
        <v>221</v>
      </c>
      <c r="I46" s="32" t="s">
        <v>222</v>
      </c>
      <c r="J46" s="26" t="s">
        <v>223</v>
      </c>
      <c r="K46" s="26" t="s">
        <v>224</v>
      </c>
      <c r="L46" s="28">
        <v>320</v>
      </c>
      <c r="M46" s="28">
        <v>200</v>
      </c>
      <c r="N46" s="28">
        <v>10</v>
      </c>
      <c r="O46" s="28">
        <v>4</v>
      </c>
      <c r="P46" s="26">
        <v>4</v>
      </c>
      <c r="Q46" s="26">
        <v>4</v>
      </c>
      <c r="R46" s="26">
        <v>3</v>
      </c>
      <c r="S46" s="26">
        <v>4</v>
      </c>
      <c r="T46" s="26">
        <v>1</v>
      </c>
      <c r="U46" s="29"/>
    </row>
    <row r="47" s="15" customFormat="1" customHeight="1" spans="1:21">
      <c r="A47" s="26" t="s">
        <v>225</v>
      </c>
      <c r="B47" s="26">
        <v>4</v>
      </c>
      <c r="C47" s="26" t="s">
        <v>173</v>
      </c>
      <c r="D47" s="26" t="s">
        <v>207</v>
      </c>
      <c r="E47" s="26" t="s">
        <v>44</v>
      </c>
      <c r="F47" s="26" t="s">
        <v>43</v>
      </c>
      <c r="G47" s="26">
        <v>5</v>
      </c>
      <c r="H47" s="26" t="s">
        <v>226</v>
      </c>
      <c r="I47" s="26" t="s">
        <v>227</v>
      </c>
      <c r="J47" s="27" t="s">
        <v>228</v>
      </c>
      <c r="K47" s="27" t="s">
        <v>229</v>
      </c>
      <c r="L47" s="28">
        <v>360</v>
      </c>
      <c r="M47" s="28">
        <v>140</v>
      </c>
      <c r="N47" s="28">
        <v>10</v>
      </c>
      <c r="O47" s="28">
        <v>2</v>
      </c>
      <c r="P47" s="26">
        <v>5</v>
      </c>
      <c r="Q47" s="26">
        <v>5</v>
      </c>
      <c r="R47" s="26">
        <v>4</v>
      </c>
      <c r="S47" s="26">
        <v>8</v>
      </c>
      <c r="T47" s="26">
        <v>1</v>
      </c>
      <c r="U47" s="29"/>
    </row>
    <row r="48" s="15" customFormat="1" customHeight="1" spans="1:21">
      <c r="A48" s="26" t="s">
        <v>230</v>
      </c>
      <c r="B48" s="26">
        <v>5</v>
      </c>
      <c r="C48" s="26" t="s">
        <v>173</v>
      </c>
      <c r="D48" s="26" t="s">
        <v>43</v>
      </c>
      <c r="E48" s="26" t="s">
        <v>44</v>
      </c>
      <c r="F48" s="26" t="s">
        <v>43</v>
      </c>
      <c r="G48" s="26">
        <v>3</v>
      </c>
      <c r="H48" s="31" t="s">
        <v>231</v>
      </c>
      <c r="I48" s="31" t="s">
        <v>232</v>
      </c>
      <c r="J48" s="26"/>
      <c r="K48" s="26"/>
      <c r="L48" s="28">
        <v>395</v>
      </c>
      <c r="M48" s="28">
        <v>120</v>
      </c>
      <c r="N48" s="28">
        <v>10</v>
      </c>
      <c r="O48" s="28">
        <v>3</v>
      </c>
      <c r="P48" s="26">
        <v>5</v>
      </c>
      <c r="Q48" s="26">
        <v>1</v>
      </c>
      <c r="R48" s="26">
        <v>1</v>
      </c>
      <c r="S48" s="26">
        <v>1</v>
      </c>
      <c r="T48" s="26">
        <v>1</v>
      </c>
      <c r="U48" s="29"/>
    </row>
    <row r="49" s="15" customFormat="1" customHeight="1" spans="1:21">
      <c r="A49" s="26" t="s">
        <v>233</v>
      </c>
      <c r="B49" s="26">
        <v>5</v>
      </c>
      <c r="C49" s="26" t="s">
        <v>173</v>
      </c>
      <c r="D49" s="26" t="s">
        <v>49</v>
      </c>
      <c r="E49" s="26" t="s">
        <v>44</v>
      </c>
      <c r="F49" s="26" t="s">
        <v>43</v>
      </c>
      <c r="G49" s="26">
        <v>3</v>
      </c>
      <c r="H49" s="31" t="s">
        <v>234</v>
      </c>
      <c r="I49" s="31" t="s">
        <v>234</v>
      </c>
      <c r="J49" s="26" t="s">
        <v>235</v>
      </c>
      <c r="K49" s="26" t="s">
        <v>236</v>
      </c>
      <c r="L49" s="28">
        <v>415</v>
      </c>
      <c r="M49" s="28">
        <v>60</v>
      </c>
      <c r="N49" s="28">
        <v>10</v>
      </c>
      <c r="O49" s="28">
        <v>3</v>
      </c>
      <c r="P49" s="26">
        <v>7</v>
      </c>
      <c r="Q49" s="26">
        <v>1</v>
      </c>
      <c r="R49" s="26">
        <v>1</v>
      </c>
      <c r="S49" s="26">
        <v>5</v>
      </c>
      <c r="T49" s="26">
        <v>1</v>
      </c>
      <c r="U49" s="29"/>
    </row>
    <row r="50" s="15" customFormat="1" customHeight="1" spans="1:21">
      <c r="A50" s="26" t="s">
        <v>237</v>
      </c>
      <c r="B50" s="26">
        <v>6</v>
      </c>
      <c r="C50" s="26" t="s">
        <v>173</v>
      </c>
      <c r="D50" s="26" t="s">
        <v>207</v>
      </c>
      <c r="E50" s="26" t="s">
        <v>44</v>
      </c>
      <c r="F50" s="26" t="s">
        <v>43</v>
      </c>
      <c r="G50" s="26">
        <v>3</v>
      </c>
      <c r="H50" s="27" t="s">
        <v>238</v>
      </c>
      <c r="I50" s="27" t="s">
        <v>239</v>
      </c>
      <c r="J50" s="31" t="s">
        <v>240</v>
      </c>
      <c r="K50" s="31" t="s">
        <v>241</v>
      </c>
      <c r="L50" s="28">
        <v>460</v>
      </c>
      <c r="M50" s="28">
        <v>140</v>
      </c>
      <c r="N50" s="28">
        <v>10</v>
      </c>
      <c r="O50" s="28">
        <v>6</v>
      </c>
      <c r="P50" s="26">
        <v>3</v>
      </c>
      <c r="Q50" s="26">
        <v>1</v>
      </c>
      <c r="R50" s="26">
        <v>1</v>
      </c>
      <c r="S50" s="26">
        <v>1</v>
      </c>
      <c r="T50" s="26">
        <v>1</v>
      </c>
      <c r="U50" s="29"/>
    </row>
    <row r="51" s="15" customFormat="1" customHeight="1" spans="1:21">
      <c r="A51" s="26" t="s">
        <v>242</v>
      </c>
      <c r="B51" s="26">
        <v>6</v>
      </c>
      <c r="C51" s="26" t="s">
        <v>173</v>
      </c>
      <c r="D51" s="26" t="s">
        <v>43</v>
      </c>
      <c r="E51" s="26" t="s">
        <v>44</v>
      </c>
      <c r="F51" s="26" t="s">
        <v>43</v>
      </c>
      <c r="G51" s="26">
        <v>3</v>
      </c>
      <c r="H51" s="33" t="s">
        <v>243</v>
      </c>
      <c r="I51" s="33" t="s">
        <v>244</v>
      </c>
      <c r="J51" s="26"/>
      <c r="K51" s="26"/>
      <c r="L51" s="28">
        <v>495</v>
      </c>
      <c r="M51" s="28">
        <v>250</v>
      </c>
      <c r="N51" s="28">
        <v>10</v>
      </c>
      <c r="O51" s="28">
        <v>3</v>
      </c>
      <c r="P51" s="26">
        <v>3</v>
      </c>
      <c r="Q51" s="26">
        <v>3</v>
      </c>
      <c r="R51" s="26">
        <v>1</v>
      </c>
      <c r="S51" s="26">
        <v>8</v>
      </c>
      <c r="T51" s="26">
        <v>1</v>
      </c>
      <c r="U51" s="29"/>
    </row>
    <row r="52" s="15" customFormat="1" customHeight="1" spans="1:21">
      <c r="A52" s="26" t="s">
        <v>245</v>
      </c>
      <c r="B52" s="26">
        <v>6</v>
      </c>
      <c r="C52" s="26" t="s">
        <v>173</v>
      </c>
      <c r="D52" s="26" t="s">
        <v>120</v>
      </c>
      <c r="E52" s="26" t="s">
        <v>44</v>
      </c>
      <c r="F52" s="26" t="s">
        <v>43</v>
      </c>
      <c r="G52" s="26">
        <v>3</v>
      </c>
      <c r="H52" s="26" t="s">
        <v>246</v>
      </c>
      <c r="I52" s="26" t="s">
        <v>247</v>
      </c>
      <c r="J52" s="26"/>
      <c r="K52" s="26"/>
      <c r="L52" s="28">
        <v>615</v>
      </c>
      <c r="M52" s="28">
        <v>320</v>
      </c>
      <c r="N52" s="28">
        <v>10</v>
      </c>
      <c r="O52" s="28">
        <v>3</v>
      </c>
      <c r="P52" s="26">
        <v>2</v>
      </c>
      <c r="Q52" s="26">
        <v>4</v>
      </c>
      <c r="R52" s="26">
        <v>2</v>
      </c>
      <c r="S52" s="26">
        <v>1</v>
      </c>
      <c r="T52" s="26">
        <v>1</v>
      </c>
      <c r="U52" s="29"/>
    </row>
    <row r="53" s="15" customFormat="1" customHeight="1" spans="1:21">
      <c r="A53" s="26" t="s">
        <v>248</v>
      </c>
      <c r="B53" s="26">
        <v>6</v>
      </c>
      <c r="C53" s="26" t="s">
        <v>173</v>
      </c>
      <c r="D53" s="26" t="s">
        <v>120</v>
      </c>
      <c r="E53" s="26" t="s">
        <v>44</v>
      </c>
      <c r="F53" s="26">
        <v>0</v>
      </c>
      <c r="G53" s="26">
        <v>3</v>
      </c>
      <c r="H53" s="32" t="s">
        <v>249</v>
      </c>
      <c r="I53" s="32" t="s">
        <v>250</v>
      </c>
      <c r="J53" s="26" t="s">
        <v>251</v>
      </c>
      <c r="K53" s="26" t="s">
        <v>252</v>
      </c>
      <c r="L53" s="28">
        <v>670</v>
      </c>
      <c r="M53" s="28">
        <v>380</v>
      </c>
      <c r="N53" s="28">
        <v>10</v>
      </c>
      <c r="O53" s="28">
        <v>3</v>
      </c>
      <c r="P53" s="26">
        <v>2</v>
      </c>
      <c r="Q53" s="26">
        <v>3</v>
      </c>
      <c r="R53" s="26">
        <v>1</v>
      </c>
      <c r="S53" s="26">
        <v>1</v>
      </c>
      <c r="T53" s="26">
        <v>1</v>
      </c>
      <c r="U53" s="29"/>
    </row>
    <row r="54" customHeight="1" spans="1:21">
      <c r="A54" s="17" t="s">
        <v>253</v>
      </c>
      <c r="B54" s="17">
        <v>1</v>
      </c>
      <c r="C54" s="17" t="s">
        <v>254</v>
      </c>
      <c r="D54" s="17" t="s">
        <v>255</v>
      </c>
      <c r="E54" s="17" t="s">
        <v>44</v>
      </c>
      <c r="F54" s="17" t="s">
        <v>43</v>
      </c>
      <c r="G54" s="17">
        <v>12</v>
      </c>
      <c r="H54" s="17" t="s">
        <v>256</v>
      </c>
      <c r="I54" s="17" t="s">
        <v>257</v>
      </c>
      <c r="J54" s="17" t="s">
        <v>258</v>
      </c>
      <c r="K54" s="17" t="s">
        <v>258</v>
      </c>
      <c r="L54" s="28">
        <v>160</v>
      </c>
      <c r="M54" s="28">
        <v>80</v>
      </c>
      <c r="N54" s="28">
        <v>10</v>
      </c>
      <c r="O54" s="28">
        <v>1</v>
      </c>
      <c r="P54" s="26">
        <v>4</v>
      </c>
      <c r="Q54" s="26">
        <v>0</v>
      </c>
      <c r="R54" s="26">
        <v>0</v>
      </c>
      <c r="S54" s="26">
        <v>1</v>
      </c>
      <c r="T54" s="26">
        <v>1</v>
      </c>
      <c r="U54" s="19"/>
    </row>
    <row r="55" customHeight="1" spans="1:21">
      <c r="A55" s="17" t="s">
        <v>259</v>
      </c>
      <c r="B55" s="17">
        <v>1</v>
      </c>
      <c r="C55" s="17" t="s">
        <v>254</v>
      </c>
      <c r="D55" s="17" t="s">
        <v>49</v>
      </c>
      <c r="E55" s="17" t="s">
        <v>260</v>
      </c>
      <c r="F55" s="17" t="s">
        <v>43</v>
      </c>
      <c r="G55" s="17">
        <v>12</v>
      </c>
      <c r="H55" s="17" t="s">
        <v>261</v>
      </c>
      <c r="I55" s="17" t="s">
        <v>262</v>
      </c>
      <c r="L55" s="28">
        <v>220</v>
      </c>
      <c r="M55" s="28">
        <v>220</v>
      </c>
      <c r="N55" s="28">
        <v>10</v>
      </c>
      <c r="O55" s="28">
        <v>1</v>
      </c>
      <c r="P55" s="26">
        <v>3</v>
      </c>
      <c r="Q55" s="26">
        <v>1</v>
      </c>
      <c r="R55" s="26">
        <v>0</v>
      </c>
      <c r="S55" s="26">
        <v>1</v>
      </c>
      <c r="T55" s="26">
        <v>1</v>
      </c>
      <c r="U55" s="19"/>
    </row>
    <row r="56" customHeight="1" spans="1:21">
      <c r="A56" s="17" t="s">
        <v>263</v>
      </c>
      <c r="B56" s="17">
        <v>1</v>
      </c>
      <c r="C56" s="17" t="s">
        <v>254</v>
      </c>
      <c r="D56" s="17" t="s">
        <v>43</v>
      </c>
      <c r="E56" s="17" t="s">
        <v>44</v>
      </c>
      <c r="F56" s="17">
        <v>0</v>
      </c>
      <c r="G56" s="17">
        <v>12</v>
      </c>
      <c r="H56" s="17" t="s">
        <v>264</v>
      </c>
      <c r="I56" s="17" t="s">
        <v>265</v>
      </c>
      <c r="L56" s="28">
        <v>100</v>
      </c>
      <c r="M56" s="28">
        <v>30</v>
      </c>
      <c r="N56" s="28">
        <v>10</v>
      </c>
      <c r="O56" s="28">
        <v>2</v>
      </c>
      <c r="P56" s="26">
        <v>6</v>
      </c>
      <c r="Q56" s="26">
        <v>0</v>
      </c>
      <c r="R56" s="26">
        <v>4</v>
      </c>
      <c r="S56" s="26">
        <v>6</v>
      </c>
      <c r="T56" s="26">
        <v>1</v>
      </c>
      <c r="U56" s="19"/>
    </row>
    <row r="57" customHeight="1" spans="1:21">
      <c r="A57" s="17" t="s">
        <v>266</v>
      </c>
      <c r="B57" s="17">
        <v>1</v>
      </c>
      <c r="C57" s="17" t="s">
        <v>254</v>
      </c>
      <c r="D57" s="17" t="s">
        <v>43</v>
      </c>
      <c r="E57" s="17" t="s">
        <v>260</v>
      </c>
      <c r="F57" s="17" t="s">
        <v>43</v>
      </c>
      <c r="G57" s="17">
        <v>12</v>
      </c>
      <c r="H57" s="17" t="s">
        <v>267</v>
      </c>
      <c r="I57" s="17" t="s">
        <v>268</v>
      </c>
      <c r="L57" s="28">
        <v>230</v>
      </c>
      <c r="M57" s="28">
        <v>80</v>
      </c>
      <c r="N57" s="28">
        <v>10</v>
      </c>
      <c r="O57" s="28">
        <v>2</v>
      </c>
      <c r="P57" s="26">
        <v>3</v>
      </c>
      <c r="Q57" s="26">
        <v>2</v>
      </c>
      <c r="R57" s="26">
        <v>1</v>
      </c>
      <c r="S57" s="26">
        <v>1</v>
      </c>
      <c r="T57" s="26">
        <v>1</v>
      </c>
      <c r="U57" s="19"/>
    </row>
    <row r="58" customHeight="1" spans="1:21">
      <c r="A58" s="17" t="s">
        <v>269</v>
      </c>
      <c r="B58" s="17">
        <v>2</v>
      </c>
      <c r="C58" s="17" t="s">
        <v>254</v>
      </c>
      <c r="D58" s="17" t="s">
        <v>43</v>
      </c>
      <c r="E58" s="17" t="s">
        <v>44</v>
      </c>
      <c r="F58" s="17" t="s">
        <v>43</v>
      </c>
      <c r="G58" s="17">
        <v>12</v>
      </c>
      <c r="H58" s="17" t="s">
        <v>270</v>
      </c>
      <c r="I58" s="17" t="s">
        <v>271</v>
      </c>
      <c r="L58" s="28">
        <v>260</v>
      </c>
      <c r="M58" s="28">
        <v>120</v>
      </c>
      <c r="N58" s="28">
        <v>10</v>
      </c>
      <c r="O58" s="28">
        <v>1</v>
      </c>
      <c r="P58" s="26">
        <v>3</v>
      </c>
      <c r="Q58" s="26">
        <v>1</v>
      </c>
      <c r="R58" s="26">
        <v>0</v>
      </c>
      <c r="S58" s="26">
        <v>6</v>
      </c>
      <c r="T58" s="26">
        <v>1</v>
      </c>
      <c r="U58" s="19"/>
    </row>
    <row r="59" customHeight="1" spans="1:21">
      <c r="A59" s="17" t="s">
        <v>272</v>
      </c>
      <c r="B59" s="17">
        <v>2</v>
      </c>
      <c r="C59" s="17" t="s">
        <v>254</v>
      </c>
      <c r="D59" s="17" t="s">
        <v>49</v>
      </c>
      <c r="E59" s="17" t="s">
        <v>260</v>
      </c>
      <c r="F59" s="17" t="s">
        <v>43</v>
      </c>
      <c r="G59" s="17">
        <v>12</v>
      </c>
      <c r="H59" s="17" t="s">
        <v>273</v>
      </c>
      <c r="I59" s="17" t="s">
        <v>274</v>
      </c>
      <c r="L59" s="28">
        <v>300</v>
      </c>
      <c r="M59" s="28">
        <v>110</v>
      </c>
      <c r="N59" s="28">
        <v>10</v>
      </c>
      <c r="O59" s="28">
        <v>2</v>
      </c>
      <c r="P59" s="26">
        <v>3</v>
      </c>
      <c r="Q59" s="26">
        <v>2</v>
      </c>
      <c r="R59" s="26">
        <v>1</v>
      </c>
      <c r="S59" s="26">
        <v>1</v>
      </c>
      <c r="T59" s="26">
        <v>1</v>
      </c>
      <c r="U59" s="19"/>
    </row>
    <row r="60" customHeight="1" spans="1:21">
      <c r="A60" s="17" t="s">
        <v>275</v>
      </c>
      <c r="B60" s="17">
        <v>2</v>
      </c>
      <c r="C60" s="17" t="s">
        <v>254</v>
      </c>
      <c r="D60" s="17" t="s">
        <v>55</v>
      </c>
      <c r="E60" s="17" t="s">
        <v>44</v>
      </c>
      <c r="F60" s="17" t="s">
        <v>43</v>
      </c>
      <c r="G60" s="17">
        <v>12</v>
      </c>
      <c r="H60" s="17" t="s">
        <v>276</v>
      </c>
      <c r="I60" s="17" t="s">
        <v>277</v>
      </c>
      <c r="L60" s="28">
        <v>200</v>
      </c>
      <c r="M60" s="28">
        <v>50</v>
      </c>
      <c r="N60" s="28">
        <v>10</v>
      </c>
      <c r="O60" s="28">
        <v>2</v>
      </c>
      <c r="P60" s="26">
        <v>1</v>
      </c>
      <c r="Q60" s="26">
        <v>1</v>
      </c>
      <c r="R60" s="26">
        <v>0</v>
      </c>
      <c r="S60" s="26">
        <v>4</v>
      </c>
      <c r="T60" s="26">
        <v>1</v>
      </c>
      <c r="U60" s="19"/>
    </row>
    <row r="61" customHeight="1" spans="1:21">
      <c r="A61" s="17" t="s">
        <v>278</v>
      </c>
      <c r="B61" s="17">
        <v>3</v>
      </c>
      <c r="C61" s="17" t="s">
        <v>254</v>
      </c>
      <c r="D61" s="17" t="s">
        <v>255</v>
      </c>
      <c r="E61" s="17" t="s">
        <v>44</v>
      </c>
      <c r="F61" s="17" t="s">
        <v>43</v>
      </c>
      <c r="G61" s="17">
        <v>8</v>
      </c>
      <c r="H61" s="17" t="s">
        <v>279</v>
      </c>
      <c r="I61" s="17" t="s">
        <v>280</v>
      </c>
      <c r="J61" s="17" t="s">
        <v>281</v>
      </c>
      <c r="K61" s="17" t="s">
        <v>282</v>
      </c>
      <c r="L61" s="28">
        <v>305</v>
      </c>
      <c r="M61" s="28">
        <v>180</v>
      </c>
      <c r="N61" s="28">
        <v>10</v>
      </c>
      <c r="O61" s="28">
        <v>2</v>
      </c>
      <c r="P61" s="26">
        <v>6</v>
      </c>
      <c r="Q61" s="26">
        <v>0</v>
      </c>
      <c r="R61" s="26">
        <v>1</v>
      </c>
      <c r="S61" s="26">
        <v>1</v>
      </c>
      <c r="T61" s="26">
        <v>1</v>
      </c>
      <c r="U61" s="19"/>
    </row>
    <row r="62" customHeight="1" spans="1:21">
      <c r="A62" s="17" t="s">
        <v>283</v>
      </c>
      <c r="B62" s="17">
        <v>3</v>
      </c>
      <c r="C62" s="17" t="s">
        <v>254</v>
      </c>
      <c r="D62" s="17" t="s">
        <v>43</v>
      </c>
      <c r="E62" s="17" t="s">
        <v>260</v>
      </c>
      <c r="F62" s="17" t="s">
        <v>43</v>
      </c>
      <c r="G62" s="17">
        <v>8</v>
      </c>
      <c r="H62" s="17" t="s">
        <v>284</v>
      </c>
      <c r="I62" s="17" t="s">
        <v>285</v>
      </c>
      <c r="J62" s="17" t="s">
        <v>286</v>
      </c>
      <c r="K62" s="17" t="s">
        <v>287</v>
      </c>
      <c r="L62" s="28">
        <v>265</v>
      </c>
      <c r="M62" s="28">
        <v>160</v>
      </c>
      <c r="N62" s="28">
        <v>10</v>
      </c>
      <c r="O62" s="28">
        <v>3</v>
      </c>
      <c r="P62" s="26">
        <v>3</v>
      </c>
      <c r="Q62" s="26">
        <v>1</v>
      </c>
      <c r="R62" s="26">
        <v>1</v>
      </c>
      <c r="S62" s="26">
        <v>1</v>
      </c>
      <c r="T62" s="26">
        <v>1</v>
      </c>
      <c r="U62" s="19"/>
    </row>
    <row r="63" customHeight="1" spans="1:21">
      <c r="A63" s="17" t="s">
        <v>288</v>
      </c>
      <c r="B63" s="17">
        <v>3</v>
      </c>
      <c r="C63" s="17" t="s">
        <v>254</v>
      </c>
      <c r="D63" s="17" t="s">
        <v>43</v>
      </c>
      <c r="E63" s="17" t="s">
        <v>44</v>
      </c>
      <c r="F63" s="17" t="s">
        <v>43</v>
      </c>
      <c r="G63" s="17">
        <v>8</v>
      </c>
      <c r="H63" s="17" t="s">
        <v>289</v>
      </c>
      <c r="I63" s="17" t="s">
        <v>290</v>
      </c>
      <c r="L63" s="28">
        <v>360</v>
      </c>
      <c r="M63" s="28">
        <v>150</v>
      </c>
      <c r="N63" s="28">
        <v>10</v>
      </c>
      <c r="O63" s="28">
        <v>2</v>
      </c>
      <c r="P63" s="26">
        <v>2</v>
      </c>
      <c r="Q63" s="26">
        <v>2</v>
      </c>
      <c r="R63" s="26">
        <v>2</v>
      </c>
      <c r="S63" s="26">
        <v>1</v>
      </c>
      <c r="T63" s="26">
        <v>1</v>
      </c>
      <c r="U63" s="19"/>
    </row>
    <row r="64" customHeight="1" spans="1:21">
      <c r="A64" s="17" t="s">
        <v>291</v>
      </c>
      <c r="B64" s="17">
        <v>4</v>
      </c>
      <c r="C64" s="17" t="s">
        <v>254</v>
      </c>
      <c r="D64" s="17" t="s">
        <v>43</v>
      </c>
      <c r="E64" s="17" t="s">
        <v>260</v>
      </c>
      <c r="F64" s="17">
        <v>0</v>
      </c>
      <c r="G64" s="17">
        <v>5</v>
      </c>
      <c r="H64" s="17" t="s">
        <v>292</v>
      </c>
      <c r="I64" s="17" t="s">
        <v>293</v>
      </c>
      <c r="J64" s="17" t="s">
        <v>294</v>
      </c>
      <c r="K64" s="17" t="s">
        <v>295</v>
      </c>
      <c r="L64" s="28">
        <v>400</v>
      </c>
      <c r="M64" s="28">
        <v>200</v>
      </c>
      <c r="N64" s="28">
        <v>10</v>
      </c>
      <c r="O64" s="28">
        <v>2</v>
      </c>
      <c r="P64" s="26">
        <v>6</v>
      </c>
      <c r="Q64" s="26">
        <v>1</v>
      </c>
      <c r="R64" s="26">
        <v>1</v>
      </c>
      <c r="S64" s="26">
        <v>1</v>
      </c>
      <c r="T64" s="26">
        <v>1</v>
      </c>
      <c r="U64" s="19"/>
    </row>
    <row r="65" customHeight="1" spans="1:21">
      <c r="A65" s="17" t="s">
        <v>296</v>
      </c>
      <c r="B65" s="17">
        <v>4</v>
      </c>
      <c r="C65" s="17" t="s">
        <v>254</v>
      </c>
      <c r="D65" s="17" t="s">
        <v>255</v>
      </c>
      <c r="E65" s="17" t="s">
        <v>260</v>
      </c>
      <c r="F65" s="17" t="s">
        <v>43</v>
      </c>
      <c r="G65" s="17">
        <v>5</v>
      </c>
      <c r="H65" s="17" t="s">
        <v>297</v>
      </c>
      <c r="I65" s="17" t="s">
        <v>298</v>
      </c>
      <c r="J65" s="17" t="s">
        <v>299</v>
      </c>
      <c r="K65" s="17" t="s">
        <v>300</v>
      </c>
      <c r="L65" s="28">
        <v>400</v>
      </c>
      <c r="M65" s="28">
        <v>170</v>
      </c>
      <c r="N65" s="28">
        <v>10</v>
      </c>
      <c r="O65" s="28">
        <v>2</v>
      </c>
      <c r="P65" s="26">
        <v>5</v>
      </c>
      <c r="Q65" s="26">
        <v>0</v>
      </c>
      <c r="R65" s="26">
        <v>0</v>
      </c>
      <c r="S65" s="26">
        <v>1</v>
      </c>
      <c r="T65" s="26">
        <v>1</v>
      </c>
      <c r="U65" s="19" t="s">
        <v>301</v>
      </c>
    </row>
    <row r="66" customHeight="1" spans="1:21">
      <c r="A66" s="17" t="s">
        <v>302</v>
      </c>
      <c r="B66" s="17">
        <v>4</v>
      </c>
      <c r="C66" s="17" t="s">
        <v>254</v>
      </c>
      <c r="D66" s="17" t="s">
        <v>120</v>
      </c>
      <c r="E66" s="17" t="s">
        <v>44</v>
      </c>
      <c r="F66" s="17" t="s">
        <v>43</v>
      </c>
      <c r="G66" s="17">
        <v>5</v>
      </c>
      <c r="J66" s="17" t="s">
        <v>303</v>
      </c>
      <c r="K66" s="17" t="s">
        <v>304</v>
      </c>
      <c r="L66" s="28">
        <v>320</v>
      </c>
      <c r="M66" s="28">
        <v>180</v>
      </c>
      <c r="N66" s="28">
        <v>10</v>
      </c>
      <c r="O66" s="28">
        <v>1</v>
      </c>
      <c r="P66" s="26">
        <v>6</v>
      </c>
      <c r="Q66" s="26">
        <v>1</v>
      </c>
      <c r="R66" s="26">
        <v>1</v>
      </c>
      <c r="S66" s="26">
        <v>4</v>
      </c>
      <c r="T66" s="26">
        <v>1</v>
      </c>
      <c r="U66" s="19"/>
    </row>
    <row r="67" customHeight="1" spans="1:21">
      <c r="A67" s="17" t="s">
        <v>305</v>
      </c>
      <c r="B67" s="17">
        <v>5</v>
      </c>
      <c r="C67" s="17" t="s">
        <v>254</v>
      </c>
      <c r="D67" s="17" t="s">
        <v>49</v>
      </c>
      <c r="E67" s="17" t="s">
        <v>260</v>
      </c>
      <c r="F67" s="17" t="s">
        <v>43</v>
      </c>
      <c r="G67" s="17">
        <v>3</v>
      </c>
      <c r="H67" s="17" t="s">
        <v>306</v>
      </c>
      <c r="I67" s="17" t="s">
        <v>307</v>
      </c>
      <c r="J67" s="17" t="s">
        <v>308</v>
      </c>
      <c r="K67" s="17" t="s">
        <v>309</v>
      </c>
      <c r="L67" s="28">
        <v>520</v>
      </c>
      <c r="M67" s="28">
        <v>220</v>
      </c>
      <c r="N67" s="28">
        <v>10</v>
      </c>
      <c r="O67" s="28">
        <v>3</v>
      </c>
      <c r="P67" s="26">
        <v>4</v>
      </c>
      <c r="Q67" s="26">
        <v>1</v>
      </c>
      <c r="R67" s="26">
        <v>2</v>
      </c>
      <c r="S67" s="26">
        <v>1</v>
      </c>
      <c r="T67" s="26">
        <v>1</v>
      </c>
      <c r="U67" s="19"/>
    </row>
    <row r="68" customHeight="1" spans="1:21">
      <c r="A68" s="17" t="s">
        <v>310</v>
      </c>
      <c r="B68" s="17">
        <v>5</v>
      </c>
      <c r="C68" s="17" t="s">
        <v>254</v>
      </c>
      <c r="D68" s="17" t="s">
        <v>255</v>
      </c>
      <c r="E68" s="17" t="s">
        <v>260</v>
      </c>
      <c r="F68" s="17" t="s">
        <v>43</v>
      </c>
      <c r="G68" s="17">
        <v>3</v>
      </c>
      <c r="H68" s="17" t="s">
        <v>311</v>
      </c>
      <c r="I68" s="17" t="s">
        <v>312</v>
      </c>
      <c r="L68" s="28">
        <v>555</v>
      </c>
      <c r="M68" s="28">
        <v>210</v>
      </c>
      <c r="N68" s="28">
        <v>10</v>
      </c>
      <c r="O68" s="28">
        <v>2</v>
      </c>
      <c r="P68" s="26">
        <v>5</v>
      </c>
      <c r="Q68" s="26">
        <v>0</v>
      </c>
      <c r="R68" s="26">
        <v>1</v>
      </c>
      <c r="S68" s="26">
        <v>1</v>
      </c>
      <c r="T68" s="26">
        <v>1</v>
      </c>
      <c r="U68" s="19"/>
    </row>
    <row r="69" customHeight="1" spans="1:21">
      <c r="A69" s="17" t="s">
        <v>313</v>
      </c>
      <c r="B69" s="17">
        <v>5</v>
      </c>
      <c r="C69" s="17" t="s">
        <v>254</v>
      </c>
      <c r="D69" s="17" t="s">
        <v>43</v>
      </c>
      <c r="E69" s="17" t="s">
        <v>44</v>
      </c>
      <c r="F69" s="17" t="s">
        <v>43</v>
      </c>
      <c r="G69" s="17">
        <v>3</v>
      </c>
      <c r="J69" s="17" t="s">
        <v>314</v>
      </c>
      <c r="K69" s="17" t="s">
        <v>315</v>
      </c>
      <c r="L69" s="28">
        <v>400</v>
      </c>
      <c r="M69" s="28">
        <v>180</v>
      </c>
      <c r="N69" s="28">
        <v>10</v>
      </c>
      <c r="O69" s="28">
        <v>1</v>
      </c>
      <c r="P69" s="26">
        <v>5</v>
      </c>
      <c r="Q69" s="26">
        <v>1</v>
      </c>
      <c r="R69" s="26">
        <v>2</v>
      </c>
      <c r="S69" s="26">
        <v>1</v>
      </c>
      <c r="T69" s="26">
        <v>1</v>
      </c>
      <c r="U69" s="19"/>
    </row>
    <row r="70" customHeight="1" spans="1:21">
      <c r="A70" s="17" t="s">
        <v>316</v>
      </c>
      <c r="B70" s="17">
        <v>6</v>
      </c>
      <c r="C70" s="17" t="s">
        <v>254</v>
      </c>
      <c r="D70" s="17" t="s">
        <v>49</v>
      </c>
      <c r="E70" s="17" t="s">
        <v>260</v>
      </c>
      <c r="F70" s="17" t="s">
        <v>43</v>
      </c>
      <c r="G70" s="17">
        <v>3</v>
      </c>
      <c r="H70" s="17" t="s">
        <v>317</v>
      </c>
      <c r="I70" s="17" t="s">
        <v>318</v>
      </c>
      <c r="L70" s="28">
        <v>500</v>
      </c>
      <c r="M70" s="28">
        <v>200</v>
      </c>
      <c r="N70" s="28">
        <v>10</v>
      </c>
      <c r="O70" s="28">
        <v>2</v>
      </c>
      <c r="P70" s="26">
        <v>3</v>
      </c>
      <c r="Q70" s="26">
        <v>1</v>
      </c>
      <c r="R70" s="26">
        <v>1</v>
      </c>
      <c r="S70" s="26">
        <v>1</v>
      </c>
      <c r="T70" s="26">
        <v>1</v>
      </c>
      <c r="U70" s="19"/>
    </row>
    <row r="71" customHeight="1" spans="1:21">
      <c r="A71" s="17" t="s">
        <v>319</v>
      </c>
      <c r="B71" s="17">
        <v>6</v>
      </c>
      <c r="C71" s="17" t="s">
        <v>254</v>
      </c>
      <c r="D71" s="17" t="s">
        <v>255</v>
      </c>
      <c r="E71" s="17" t="s">
        <v>44</v>
      </c>
      <c r="F71" s="17" t="s">
        <v>43</v>
      </c>
      <c r="G71" s="17">
        <v>3</v>
      </c>
      <c r="H71" s="17" t="s">
        <v>320</v>
      </c>
      <c r="I71" s="17" t="s">
        <v>321</v>
      </c>
      <c r="J71" s="17" t="s">
        <v>258</v>
      </c>
      <c r="K71" s="17" t="s">
        <v>258</v>
      </c>
      <c r="L71" s="28">
        <v>620</v>
      </c>
      <c r="M71" s="28">
        <v>220</v>
      </c>
      <c r="N71" s="28">
        <v>10</v>
      </c>
      <c r="O71" s="28">
        <v>3</v>
      </c>
      <c r="P71" s="26">
        <v>4</v>
      </c>
      <c r="Q71" s="26">
        <v>2</v>
      </c>
      <c r="R71" s="26">
        <v>0</v>
      </c>
      <c r="S71" s="26">
        <v>1</v>
      </c>
      <c r="T71" s="26">
        <v>1</v>
      </c>
      <c r="U71" s="19"/>
    </row>
    <row r="72" customHeight="1" spans="1:21">
      <c r="A72" s="17" t="s">
        <v>322</v>
      </c>
      <c r="B72" s="17">
        <v>6</v>
      </c>
      <c r="C72" s="17" t="s">
        <v>254</v>
      </c>
      <c r="D72" s="17" t="s">
        <v>43</v>
      </c>
      <c r="E72" s="17" t="s">
        <v>260</v>
      </c>
      <c r="F72" s="17" t="s">
        <v>43</v>
      </c>
      <c r="G72" s="17">
        <v>3</v>
      </c>
      <c r="H72" s="17" t="s">
        <v>323</v>
      </c>
      <c r="I72" s="17" t="s">
        <v>324</v>
      </c>
      <c r="J72" s="17" t="s">
        <v>325</v>
      </c>
      <c r="K72" s="17" t="s">
        <v>325</v>
      </c>
      <c r="L72" s="28">
        <v>480</v>
      </c>
      <c r="M72" s="28">
        <v>260</v>
      </c>
      <c r="N72" s="28">
        <v>10</v>
      </c>
      <c r="O72" s="28">
        <v>2</v>
      </c>
      <c r="P72" s="26">
        <v>3</v>
      </c>
      <c r="Q72" s="26">
        <v>0</v>
      </c>
      <c r="R72" s="26">
        <v>0</v>
      </c>
      <c r="S72" s="26">
        <v>8</v>
      </c>
      <c r="T72" s="26">
        <v>1</v>
      </c>
      <c r="U72" s="19"/>
    </row>
    <row r="73" customHeight="1" spans="1:21">
      <c r="A73" s="17" t="s">
        <v>326</v>
      </c>
      <c r="B73" s="17">
        <v>6</v>
      </c>
      <c r="C73" s="17" t="s">
        <v>254</v>
      </c>
      <c r="D73" s="17" t="s">
        <v>43</v>
      </c>
      <c r="E73" s="17" t="s">
        <v>260</v>
      </c>
      <c r="F73" s="17">
        <v>0</v>
      </c>
      <c r="G73" s="17">
        <v>3</v>
      </c>
      <c r="J73" s="17" t="s">
        <v>327</v>
      </c>
      <c r="K73" s="17" t="s">
        <v>328</v>
      </c>
      <c r="L73" s="28">
        <v>520</v>
      </c>
      <c r="M73" s="28">
        <v>200</v>
      </c>
      <c r="N73" s="28">
        <v>10</v>
      </c>
      <c r="O73" s="28">
        <v>3</v>
      </c>
      <c r="P73" s="26">
        <v>6</v>
      </c>
      <c r="Q73" s="26">
        <v>1</v>
      </c>
      <c r="R73" s="26">
        <v>1</v>
      </c>
      <c r="S73" s="26">
        <v>8</v>
      </c>
      <c r="T73" s="26">
        <v>1</v>
      </c>
      <c r="U73" s="19"/>
    </row>
  </sheetData>
  <autoFilter xmlns:etc="http://www.wps.cn/officeDocument/2017/etCustomData" ref="A2:S73" etc:filterBottomFollowUsedRange="0">
    <extLst/>
  </autoFilter>
  <conditionalFormatting sqref="B3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{f9ea10a8-9c4d-4665-a857-237bc6f8284c}</x14:id>
        </ext>
      </extLst>
    </cfRule>
  </conditionalFormatting>
  <conditionalFormatting sqref="D3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{bfb12e66-5f9d-49c9-99f7-9094660ce2a9}</x14:id>
        </ext>
      </extLst>
    </cfRule>
  </conditionalFormatting>
  <conditionalFormatting sqref="F3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{4c4dfe56-e078-41b8-bd34-dfab31610865}</x14:id>
        </ext>
      </extLst>
    </cfRule>
  </conditionalFormatting>
  <conditionalFormatting sqref="L3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{ebc56aab-40ab-4ec8-8e63-d22fd0a19115}</x14:id>
        </ext>
      </extLst>
    </cfRule>
  </conditionalFormatting>
  <conditionalFormatting sqref="M3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{a985c649-8fd0-40f5-9a0b-10ab09c36e09}</x14:id>
        </ext>
      </extLst>
    </cfRule>
  </conditionalFormatting>
  <conditionalFormatting sqref="N3">
    <cfRule type="dataBar" priority="1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{895cd10e-12b9-43af-8201-2d3800e53c9b}</x14:id>
        </ext>
      </extLst>
    </cfRule>
  </conditionalFormatting>
  <conditionalFormatting sqref="O3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{37d6ce1c-7c81-46a9-9251-af46bbd4322d}</x14:id>
        </ext>
      </extLst>
    </cfRule>
  </conditionalFormatting>
  <conditionalFormatting sqref="P3">
    <cfRule type="dataBar" priority="1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{22041e7c-a37f-4a9d-825e-06097e4b5d3c}</x14:id>
        </ext>
      </extLst>
    </cfRule>
  </conditionalFormatting>
  <conditionalFormatting sqref="Q3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{bcc58d24-954a-4809-8831-2fa5cd731f06}</x14:id>
        </ext>
      </extLst>
    </cfRule>
  </conditionalFormatting>
  <conditionalFormatting sqref="R3">
    <cfRule type="dataBar" priority="1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{79571d32-18f0-4f16-839c-f8957c0c411b}</x14:id>
        </ext>
      </extLst>
    </cfRule>
  </conditionalFormatting>
  <conditionalFormatting sqref="S3:T3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{bde1f81c-573d-4e76-9644-4cab4bd0ec32}</x14:id>
        </ext>
      </extLst>
    </cfRule>
  </conditionalFormatting>
  <conditionalFormatting sqref="B7">
    <cfRule type="dataBar" priority="1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{cfc0c0f3-6505-4ab2-a316-534350b26ddc}</x14:id>
        </ext>
      </extLst>
    </cfRule>
  </conditionalFormatting>
  <conditionalFormatting sqref="D7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{56ad508a-2a38-4f4e-933b-6c82b3538260}</x14:id>
        </ext>
      </extLst>
    </cfRule>
  </conditionalFormatting>
  <conditionalFormatting sqref="M7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{a139a973-a4b2-41fe-874d-64687371ed47}</x14:id>
        </ext>
      </extLst>
    </cfRule>
  </conditionalFormatting>
  <conditionalFormatting sqref="N7"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{fa470d85-29d2-41fd-a9c0-39a245e58a7d}</x14:id>
        </ext>
      </extLst>
    </cfRule>
  </conditionalFormatting>
  <conditionalFormatting sqref="O7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{abe6b50c-fc92-4aea-9511-d2ee4335adf8}</x14:id>
        </ext>
      </extLst>
    </cfRule>
  </conditionalFormatting>
  <conditionalFormatting sqref="P7">
    <cfRule type="dataBar" priority="1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{ced62cc0-b462-4720-a061-4771cd205159}</x14:id>
        </ext>
      </extLst>
    </cfRule>
  </conditionalFormatting>
  <conditionalFormatting sqref="Q7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{7ca7221a-526c-49a4-85c6-9e3c9e489fea}</x14:id>
        </ext>
      </extLst>
    </cfRule>
  </conditionalFormatting>
  <conditionalFormatting sqref="R7">
    <cfRule type="dataBar" priority="1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{add0c9be-9702-4750-9b26-55623103c077}</x14:id>
        </ext>
      </extLst>
    </cfRule>
  </conditionalFormatting>
  <conditionalFormatting sqref="S7:T7">
    <cfRule type="dataBar" priority="1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{410c49d2-5a75-4f22-a1d8-2c18c5365c22}</x14:id>
        </ext>
      </extLst>
    </cfRule>
  </conditionalFormatting>
  <conditionalFormatting sqref="Q18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{8788aa4b-1467-482e-8024-97f469920463}</x14:id>
        </ext>
      </extLst>
    </cfRule>
  </conditionalFormatting>
  <conditionalFormatting sqref="R18">
    <cfRule type="dataBar" priority="2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{aeaddcf5-ef0c-4d7d-9094-3ebd043b3ec7}</x14:id>
        </ext>
      </extLst>
    </cfRule>
  </conditionalFormatting>
  <conditionalFormatting sqref="Q19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{c97fac3a-6052-43f0-a626-841a4b1c6a64}</x14:id>
        </ext>
      </extLst>
    </cfRule>
  </conditionalFormatting>
  <conditionalFormatting sqref="R19">
    <cfRule type="dataBar" priority="2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{b56445b9-8d53-41fb-8ad9-f45871347d59}</x14:id>
        </ext>
      </extLst>
    </cfRule>
  </conditionalFormatting>
  <conditionalFormatting sqref="B20">
    <cfRule type="dataBar" priority="2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{6790c209-026c-4938-a826-f05f3f1c700e}</x14:id>
        </ext>
      </extLst>
    </cfRule>
  </conditionalFormatting>
  <conditionalFormatting sqref="D20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{f90a904f-ce0e-4122-9541-e12422ff8493}</x14:id>
        </ext>
      </extLst>
    </cfRule>
  </conditionalFormatting>
  <conditionalFormatting sqref="F20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{5485ca64-2579-4900-aed0-2f6df5e268cb}</x14:id>
        </ext>
      </extLst>
    </cfRule>
  </conditionalFormatting>
  <conditionalFormatting sqref="L20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{28912948-47ea-469a-b9b1-a605a8c19905}</x14:id>
        </ext>
      </extLst>
    </cfRule>
  </conditionalFormatting>
  <conditionalFormatting sqref="M20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{e15c44f8-417d-47df-9545-18f01dcdea94}</x14:id>
        </ext>
      </extLst>
    </cfRule>
  </conditionalFormatting>
  <conditionalFormatting sqref="N20">
    <cfRule type="dataBar" priority="1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{0af63aa6-9614-4c20-b8c9-b017d82dd4c8}</x14:id>
        </ext>
      </extLst>
    </cfRule>
  </conditionalFormatting>
  <conditionalFormatting sqref="O20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{2e4f6078-f7b6-4206-b807-6122c5cc1c1a}</x14:id>
        </ext>
      </extLst>
    </cfRule>
  </conditionalFormatting>
  <conditionalFormatting sqref="P20">
    <cfRule type="dataBar" priority="1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{80a6e52b-d48c-49a2-abc8-c02324f40e99}</x14:id>
        </ext>
      </extLst>
    </cfRule>
  </conditionalFormatting>
  <conditionalFormatting sqref="Q2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{cc5f5315-fd03-434a-b2d7-9b9d18bb218e}</x14:id>
        </ext>
      </extLst>
    </cfRule>
  </conditionalFormatting>
  <conditionalFormatting sqref="R20">
    <cfRule type="dataBar" priority="1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{b4463672-a8d4-4760-936f-65d99214b015}</x14:id>
        </ext>
      </extLst>
    </cfRule>
  </conditionalFormatting>
  <conditionalFormatting sqref="S20:T20">
    <cfRule type="dataBar" priority="1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{f0091ad1-ef53-4614-8a0c-db1cdcdfcf55}</x14:id>
        </ext>
      </extLst>
    </cfRule>
  </conditionalFormatting>
  <conditionalFormatting sqref="B21">
    <cfRule type="dataBar" priority="2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{f301ae56-e580-4fb2-920b-5628f43349c4}</x14:id>
        </ext>
      </extLst>
    </cfRule>
  </conditionalFormatting>
  <conditionalFormatting sqref="D21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{3f3b27a6-bdaa-4a48-86bf-e16baeb6d612}</x14:id>
        </ext>
      </extLst>
    </cfRule>
  </conditionalFormatting>
  <conditionalFormatting sqref="F21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{f19a841c-e28b-4c6f-bd5f-87346c49c051}</x14:id>
        </ext>
      </extLst>
    </cfRule>
  </conditionalFormatting>
  <conditionalFormatting sqref="L2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{3dc05940-e0f1-4b28-8bba-ba758544602c}</x14:id>
        </ext>
      </extLst>
    </cfRule>
  </conditionalFormatting>
  <conditionalFormatting sqref="M21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{fbf0d94c-78b0-48e3-b734-f8c08dff226d}</x14:id>
        </ext>
      </extLst>
    </cfRule>
  </conditionalFormatting>
  <conditionalFormatting sqref="N21">
    <cfRule type="dataBar" priority="1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{1adbfad8-a9b7-4ffe-8bf9-b08cebaf035d}</x14:id>
        </ext>
      </extLst>
    </cfRule>
  </conditionalFormatting>
  <conditionalFormatting sqref="O21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{450380b6-ebb5-4106-b149-b12057b7b296}</x14:id>
        </ext>
      </extLst>
    </cfRule>
  </conditionalFormatting>
  <conditionalFormatting sqref="P21">
    <cfRule type="dataBar" priority="1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{5e5c22f7-b542-4cfd-80c6-115e0e64bb03}</x14:id>
        </ext>
      </extLst>
    </cfRule>
  </conditionalFormatting>
  <conditionalFormatting sqref="Q21"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{69d316df-2154-427e-8553-41ffc7563bb1}</x14:id>
        </ext>
      </extLst>
    </cfRule>
  </conditionalFormatting>
  <conditionalFormatting sqref="R21">
    <cfRule type="dataBar" priority="1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{9d84169e-239a-40c7-ba22-fd3ff71c814e}</x14:id>
        </ext>
      </extLst>
    </cfRule>
  </conditionalFormatting>
  <conditionalFormatting sqref="S21:T21">
    <cfRule type="dataBar" priority="1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{5173c590-514c-4ea5-9cd7-2ae98c8eb596}</x14:id>
        </ext>
      </extLst>
    </cfRule>
  </conditionalFormatting>
  <conditionalFormatting sqref="D22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{cf6e64b9-fb8a-4d9c-a044-c00d8213e7f6}</x14:id>
        </ext>
      </extLst>
    </cfRule>
  </conditionalFormatting>
  <conditionalFormatting sqref="F22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{85c0643d-18de-4b02-b8ad-94112faf3708}</x14:id>
        </ext>
      </extLst>
    </cfRule>
  </conditionalFormatting>
  <conditionalFormatting sqref="D2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{bc4ea67b-fa03-40bd-858a-8e665c0c2157}</x14:id>
        </ext>
      </extLst>
    </cfRule>
  </conditionalFormatting>
  <conditionalFormatting sqref="F23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{24683f55-240a-4cda-821c-410bd781536a}</x14:id>
        </ext>
      </extLst>
    </cfRule>
  </conditionalFormatting>
  <conditionalFormatting sqref="Q24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{ccfd7201-b717-4251-8ac0-dd29bdfa8021}</x14:id>
        </ext>
      </extLst>
    </cfRule>
  </conditionalFormatting>
  <conditionalFormatting sqref="R24"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{114a3e2c-8541-481a-a769-a36102ef0701}</x14:id>
        </ext>
      </extLst>
    </cfRule>
  </conditionalFormatting>
  <conditionalFormatting sqref="D26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{05034774-3a70-457f-a130-829a93760f7b}</x14:id>
        </ext>
      </extLst>
    </cfRule>
  </conditionalFormatting>
  <conditionalFormatting sqref="D27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{bb147ec3-c00b-418f-a8fc-435a2684310b}</x14:id>
        </ext>
      </extLst>
    </cfRule>
  </conditionalFormatting>
  <conditionalFormatting sqref="F27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{37079e9c-0f6c-4209-b91e-c40de4f6cd91}</x14:id>
        </ext>
      </extLst>
    </cfRule>
  </conditionalFormatting>
  <conditionalFormatting sqref="Q27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{cfeb153f-f5a8-4dde-bcd1-0ac6bf355f03}</x14:id>
        </ext>
      </extLst>
    </cfRule>
  </conditionalFormatting>
  <conditionalFormatting sqref="R27">
    <cfRule type="dataBar" priority="2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{8b16137a-c6f9-4bd6-922a-dc440b47ef21}</x14:id>
        </ext>
      </extLst>
    </cfRule>
  </conditionalFormatting>
  <conditionalFormatting sqref="Q28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{3a9e2ee2-1d53-4ca3-99da-a0b606a518c4}</x14:id>
        </ext>
      </extLst>
    </cfRule>
  </conditionalFormatting>
  <conditionalFormatting sqref="R28">
    <cfRule type="dataBar" priority="2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{09582028-212a-44be-a5a4-01ce8b48ee39}</x14:id>
        </ext>
      </extLst>
    </cfRule>
  </conditionalFormatting>
  <conditionalFormatting sqref="Q29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{fe21c858-c2d1-482c-ad4e-82843d1d6f31}</x14:id>
        </ext>
      </extLst>
    </cfRule>
  </conditionalFormatting>
  <conditionalFormatting sqref="R29">
    <cfRule type="dataBar" priority="2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{62115494-ddd9-45c1-8ec3-91c59d0a9d79}</x14:id>
        </ext>
      </extLst>
    </cfRule>
  </conditionalFormatting>
  <conditionalFormatting sqref="Q30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{8a9b7adf-3516-4aa1-bd3b-4e028f5580a1}</x14:id>
        </ext>
      </extLst>
    </cfRule>
  </conditionalFormatting>
  <conditionalFormatting sqref="R30">
    <cfRule type="dataBar" priority="2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{d857dd49-0dba-4b52-ab76-d0e36d54ed39}</x14:id>
        </ext>
      </extLst>
    </cfRule>
  </conditionalFormatting>
  <conditionalFormatting sqref="Q31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{f740cd34-2761-4887-8e15-249913841939}</x14:id>
        </ext>
      </extLst>
    </cfRule>
  </conditionalFormatting>
  <conditionalFormatting sqref="R31">
    <cfRule type="dataBar" priority="2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{fe15f711-bd11-4870-bd39-5ddeb67ff803}</x14:id>
        </ext>
      </extLst>
    </cfRule>
  </conditionalFormatting>
  <conditionalFormatting sqref="Q32"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{9dd39b30-75b2-4dd8-a6fd-b3bdf637f0a8}</x14:id>
        </ext>
      </extLst>
    </cfRule>
  </conditionalFormatting>
  <conditionalFormatting sqref="R32">
    <cfRule type="dataBar" priority="2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{440c90bd-3b2e-42fd-b592-e84f98e0b613}</x14:id>
        </ext>
      </extLst>
    </cfRule>
  </conditionalFormatting>
  <conditionalFormatting sqref="D33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{5ca59695-be0e-4ab3-b55a-bae87dbb4543}</x14:id>
        </ext>
      </extLst>
    </cfRule>
  </conditionalFormatting>
  <conditionalFormatting sqref="F33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{fcf9bf54-6ff9-4e25-a8b6-91f76cd0eb0e}</x14:id>
        </ext>
      </extLst>
    </cfRule>
  </conditionalFormatting>
  <conditionalFormatting sqref="B3:B33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{361ae061-e884-4f00-8df8-2effc4d00534}</x14:id>
        </ext>
      </extLst>
    </cfRule>
  </conditionalFormatting>
  <conditionalFormatting sqref="B18:B33">
    <cfRule type="dataBar" priority="1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{ad7454ab-ad13-477c-8341-9a56be042ea8}</x14:id>
        </ext>
      </extLst>
    </cfRule>
  </conditionalFormatting>
  <conditionalFormatting sqref="G3:G7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{e01b6e50-3db1-4069-aa13-5e62f48c8b81}</x14:id>
        </ext>
      </extLst>
    </cfRule>
  </conditionalFormatting>
  <conditionalFormatting sqref="L3:L73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{73846ca6-089b-4835-bff8-6cd40f59067e}</x14:id>
        </ext>
      </extLst>
    </cfRule>
  </conditionalFormatting>
  <conditionalFormatting sqref="L18:L7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{beb1a4f0-0245-49ea-84e5-45d0e9277b9b}</x14:id>
        </ext>
      </extLst>
    </cfRule>
  </conditionalFormatting>
  <conditionalFormatting sqref="M3:M73">
    <cfRule type="dataBar" priority="1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{06e44548-10d6-4a5f-b5b7-9177b22bc3f1}</x14:id>
        </ext>
      </extLst>
    </cfRule>
  </conditionalFormatting>
  <conditionalFormatting sqref="M18:M73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{57929118-0c6d-4db8-85c0-366d5dc1b3ff}</x14:id>
        </ext>
      </extLst>
    </cfRule>
  </conditionalFormatting>
  <conditionalFormatting sqref="N3:N73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{33390651-227f-40a4-980b-b6625c7bbc95}</x14:id>
        </ext>
      </extLst>
    </cfRule>
  </conditionalFormatting>
  <conditionalFormatting sqref="N18:N73">
    <cfRule type="dataBar" priority="1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{0210dd34-2ca7-492d-94e9-3cab43979448}</x14:id>
        </ext>
      </extLst>
    </cfRule>
  </conditionalFormatting>
  <conditionalFormatting sqref="O3:O73"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{e7a74a67-5a4f-4d60-8325-b2ca664ce60c}</x14:id>
        </ext>
      </extLst>
    </cfRule>
  </conditionalFormatting>
  <conditionalFormatting sqref="O18:O7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{be0712f3-c163-4760-9997-1baf3951e2e4}</x14:id>
        </ext>
      </extLst>
    </cfRule>
  </conditionalFormatting>
  <conditionalFormatting sqref="P3:P73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{6f098724-fa54-402f-ad25-5811757e86ed}</x14:id>
        </ext>
      </extLst>
    </cfRule>
  </conditionalFormatting>
  <conditionalFormatting sqref="P18:P73">
    <cfRule type="dataBar" priority="1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{cf2799ac-9f42-4e8f-8846-06c213cf72eb}</x14:id>
        </ext>
      </extLst>
    </cfRule>
  </conditionalFormatting>
  <conditionalFormatting sqref="Q3:Q7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{7a3d1e2f-54ab-41e5-870b-2c4da7c4c2f5}</x14:id>
        </ext>
      </extLst>
    </cfRule>
  </conditionalFormatting>
  <conditionalFormatting sqref="Q18:Q73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{4fb99dca-08ed-441e-94ff-0eeb29742dd2}</x14:id>
        </ext>
      </extLst>
    </cfRule>
  </conditionalFormatting>
  <conditionalFormatting sqref="Q22:Q23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{f385c505-4322-4a46-82cb-497d175b69d3}</x14:id>
        </ext>
      </extLst>
    </cfRule>
  </conditionalFormatting>
  <conditionalFormatting sqref="Q25:Q26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{eb9b9d87-8eaf-48f9-870b-c8c718648898}</x14:id>
        </ext>
      </extLst>
    </cfRule>
  </conditionalFormatting>
  <conditionalFormatting sqref="Q33:Q73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{b52de214-0b61-4930-a44a-f17e44dc2b5a}</x14:id>
        </ext>
      </extLst>
    </cfRule>
  </conditionalFormatting>
  <conditionalFormatting sqref="R3:R73">
    <cfRule type="dataBar" priority="1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{8d68b0cf-a0ff-43bd-bb14-39bbbeb71c0b}</x14:id>
        </ext>
      </extLst>
    </cfRule>
  </conditionalFormatting>
  <conditionalFormatting sqref="R18:R73">
    <cfRule type="dataBar" priority="1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{0442dcf5-4c26-4661-83d2-9e089be4333c}</x14:id>
        </ext>
      </extLst>
    </cfRule>
  </conditionalFormatting>
  <conditionalFormatting sqref="R22:R23">
    <cfRule type="dataBar" priority="2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{2ec1343a-3da6-41e1-bc4c-402aaa091d5e}</x14:id>
        </ext>
      </extLst>
    </cfRule>
  </conditionalFormatting>
  <conditionalFormatting sqref="R25:R26">
    <cfRule type="dataBar" priority="2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{2fe9f6ac-6a17-4b5b-b72d-e6058c02aa41}</x14:id>
        </ext>
      </extLst>
    </cfRule>
  </conditionalFormatting>
  <conditionalFormatting sqref="R33:R73">
    <cfRule type="dataBar" priority="2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{abd33d51-d294-40a7-87e4-50f80033f708}</x14:id>
        </ext>
      </extLst>
    </cfRule>
  </conditionalFormatting>
  <conditionalFormatting sqref="T3:T73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{e850373a-29ba-4ba2-b456-7364f8cf2a39}</x14:id>
        </ext>
      </extLst>
    </cfRule>
  </conditionalFormatting>
  <conditionalFormatting sqref="G3 F4:G6 L4:L6 F8:G17 L8:L17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{f9589f1f-6662-4c2b-9e39-86b286c28514}</x14:id>
        </ext>
      </extLst>
    </cfRule>
  </conditionalFormatting>
  <conditionalFormatting sqref="S3:T33 S34:S73">
    <cfRule type="dataBar" priority="1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{53d548e3-ad4d-4919-9e75-973b4e71d339}</x14:id>
        </ext>
      </extLst>
    </cfRule>
  </conditionalFormatting>
  <conditionalFormatting sqref="B4:B6 B8:B17">
    <cfRule type="dataBar" priority="2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{61e81951-15ab-4a97-a4cd-5a052ace4dda}</x14:id>
        </ext>
      </extLst>
    </cfRule>
  </conditionalFormatting>
  <conditionalFormatting sqref="D4:D6 D8:D17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{600afcef-5fef-4382-9232-f782c7bab8f7}</x14:id>
        </ext>
      </extLst>
    </cfRule>
  </conditionalFormatting>
  <conditionalFormatting sqref="M4:M6 M8:M17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{08c62d65-c147-4107-a391-4549a5447d17}</x14:id>
        </ext>
      </extLst>
    </cfRule>
  </conditionalFormatting>
  <conditionalFormatting sqref="N4:N6 N8:N17">
    <cfRule type="dataBar" priority="2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{ff41d12d-1d7c-48ef-b5d4-65e408438c4a}</x14:id>
        </ext>
      </extLst>
    </cfRule>
  </conditionalFormatting>
  <conditionalFormatting sqref="O4:O6 O8:O17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{db229ba3-1b1a-40e2-9fdd-4efbb5aa085a}</x14:id>
        </ext>
      </extLst>
    </cfRule>
  </conditionalFormatting>
  <conditionalFormatting sqref="P4:P6 P8:P17">
    <cfRule type="dataBar" priority="2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{5af47508-3aab-45be-8034-5402efdd0224}</x14:id>
        </ext>
      </extLst>
    </cfRule>
  </conditionalFormatting>
  <conditionalFormatting sqref="Q4:Q6 Q8:Q17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{8384ccb2-ba17-4317-8fca-2bdcbf69a9f2}</x14:id>
        </ext>
      </extLst>
    </cfRule>
  </conditionalFormatting>
  <conditionalFormatting sqref="R4:R6 R8:R17">
    <cfRule type="dataBar" priority="2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{a1438959-f1bf-47bc-97d9-63d130e46c88}</x14:id>
        </ext>
      </extLst>
    </cfRule>
  </conditionalFormatting>
  <conditionalFormatting sqref="S4:T6 S8:T17">
    <cfRule type="dataBar" priority="2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{bce71f45-ce83-4c5f-b5c3-87258d16a6e5}</x14:id>
        </ext>
      </extLst>
    </cfRule>
  </conditionalFormatting>
  <conditionalFormatting sqref="F7:G7 L7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{fa525546-8a65-45f7-a3e8-3cc164997a9e}</x14:id>
        </ext>
      </extLst>
    </cfRule>
  </conditionalFormatting>
  <conditionalFormatting sqref="B18:B19 B22:B32">
    <cfRule type="dataBar" priority="2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{adcc68df-b46d-4fcd-9788-fada3481aaf4}</x14:id>
        </ext>
      </extLst>
    </cfRule>
  </conditionalFormatting>
  <conditionalFormatting sqref="D18:D19 D24:D25 D28:D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{89e04d20-c0e9-4fe1-8726-042e8f3c6f72}</x14:id>
        </ext>
      </extLst>
    </cfRule>
  </conditionalFormatting>
  <conditionalFormatting sqref="F18:G19 L18:L19 G20:G22 L22 G23 L23 F24:G25 L24:L25 F26:G26 L26 G27 L27 F28:G32 L28:L32 G33 L33:L73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{d22ffb22-dfe8-4922-926f-7e28ac2192a8}</x14:id>
        </ext>
      </extLst>
    </cfRule>
  </conditionalFormatting>
  <conditionalFormatting sqref="M18:M19 M22:M73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{ba6b4128-85ea-42ca-899e-9a60585788de}</x14:id>
        </ext>
      </extLst>
    </cfRule>
  </conditionalFormatting>
  <conditionalFormatting sqref="N18:N19 N22:N73">
    <cfRule type="dataBar" priority="2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{184d1ef8-c954-430a-b49f-3a424ddb6815}</x14:id>
        </ext>
      </extLst>
    </cfRule>
  </conditionalFormatting>
  <conditionalFormatting sqref="O18:O19 O22:O73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{b8065701-e033-44f3-b854-b073b2330940}</x14:id>
        </ext>
      </extLst>
    </cfRule>
  </conditionalFormatting>
  <conditionalFormatting sqref="P18:P19 P22:P73">
    <cfRule type="dataBar" priority="2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{4e6ba313-c5b7-4543-a125-fa207d255835}</x14:id>
        </ext>
      </extLst>
    </cfRule>
  </conditionalFormatting>
  <conditionalFormatting sqref="S18:T33 S34:S73">
    <cfRule type="dataBar" priority="1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{ac1b30b1-e8c1-4246-9c10-17175b0d605c}</x14:id>
        </ext>
      </extLst>
    </cfRule>
  </conditionalFormatting>
  <conditionalFormatting sqref="S18:T19 S22:T33 S34:S73">
    <cfRule type="dataBar" priority="2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{714d9e53-a804-48bb-95b7-dbef5c845c31}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a10a8-9c4d-4665-a857-237bc6f828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B3</xm:sqref>
        </x14:conditionalFormatting>
        <x14:conditionalFormatting xmlns:xm="http://schemas.microsoft.com/office/excel/2006/main">
          <x14:cfRule type="dataBar" id="{bfb12e66-5f9d-49c9-99f7-9094660ce2a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D3</xm:sqref>
        </x14:conditionalFormatting>
        <x14:conditionalFormatting xmlns:xm="http://schemas.microsoft.com/office/excel/2006/main">
          <x14:cfRule type="dataBar" id="{4c4dfe56-e078-41b8-bd34-dfab3161086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</xm:sqref>
        </x14:conditionalFormatting>
        <x14:conditionalFormatting xmlns:xm="http://schemas.microsoft.com/office/excel/2006/main">
          <x14:cfRule type="dataBar" id="{ebc56aab-40ab-4ec8-8e63-d22fd0a1911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L3</xm:sqref>
        </x14:conditionalFormatting>
        <x14:conditionalFormatting xmlns:xm="http://schemas.microsoft.com/office/excel/2006/main">
          <x14:cfRule type="dataBar" id="{a985c649-8fd0-40f5-9a0b-10ab09c36e0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M3</xm:sqref>
        </x14:conditionalFormatting>
        <x14:conditionalFormatting xmlns:xm="http://schemas.microsoft.com/office/excel/2006/main">
          <x14:cfRule type="dataBar" id="{895cd10e-12b9-43af-8201-2d3800e53c9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N3</xm:sqref>
        </x14:conditionalFormatting>
        <x14:conditionalFormatting xmlns:xm="http://schemas.microsoft.com/office/excel/2006/main">
          <x14:cfRule type="dataBar" id="{37d6ce1c-7c81-46a9-9251-af46bbd4322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O3</xm:sqref>
        </x14:conditionalFormatting>
        <x14:conditionalFormatting xmlns:xm="http://schemas.microsoft.com/office/excel/2006/main">
          <x14:cfRule type="dataBar" id="{22041e7c-a37f-4a9d-825e-06097e4b5d3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P3</xm:sqref>
        </x14:conditionalFormatting>
        <x14:conditionalFormatting xmlns:xm="http://schemas.microsoft.com/office/excel/2006/main">
          <x14:cfRule type="dataBar" id="{bcc58d24-954a-4809-8831-2fa5cd731f0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Q3</xm:sqref>
        </x14:conditionalFormatting>
        <x14:conditionalFormatting xmlns:xm="http://schemas.microsoft.com/office/excel/2006/main">
          <x14:cfRule type="dataBar" id="{79571d32-18f0-4f16-839c-f8957c0c411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R3</xm:sqref>
        </x14:conditionalFormatting>
        <x14:conditionalFormatting xmlns:xm="http://schemas.microsoft.com/office/excel/2006/main">
          <x14:cfRule type="dataBar" id="{bde1f81c-573d-4e76-9644-4cab4bd0ec3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S3:T3</xm:sqref>
        </x14:conditionalFormatting>
        <x14:conditionalFormatting xmlns:xm="http://schemas.microsoft.com/office/excel/2006/main">
          <x14:cfRule type="dataBar" id="{cfc0c0f3-6505-4ab2-a316-534350b26dd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B7</xm:sqref>
        </x14:conditionalFormatting>
        <x14:conditionalFormatting xmlns:xm="http://schemas.microsoft.com/office/excel/2006/main">
          <x14:cfRule type="dataBar" id="{56ad508a-2a38-4f4e-933b-6c82b353826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D7</xm:sqref>
        </x14:conditionalFormatting>
        <x14:conditionalFormatting xmlns:xm="http://schemas.microsoft.com/office/excel/2006/main">
          <x14:cfRule type="dataBar" id="{a139a973-a4b2-41fe-874d-64687371ed4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M7</xm:sqref>
        </x14:conditionalFormatting>
        <x14:conditionalFormatting xmlns:xm="http://schemas.microsoft.com/office/excel/2006/main">
          <x14:cfRule type="dataBar" id="{fa470d85-29d2-41fd-a9c0-39a245e58a7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N7</xm:sqref>
        </x14:conditionalFormatting>
        <x14:conditionalFormatting xmlns:xm="http://schemas.microsoft.com/office/excel/2006/main">
          <x14:cfRule type="dataBar" id="{abe6b50c-fc92-4aea-9511-d2ee4335adf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O7</xm:sqref>
        </x14:conditionalFormatting>
        <x14:conditionalFormatting xmlns:xm="http://schemas.microsoft.com/office/excel/2006/main">
          <x14:cfRule type="dataBar" id="{ced62cc0-b462-4720-a061-4771cd20515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P7</xm:sqref>
        </x14:conditionalFormatting>
        <x14:conditionalFormatting xmlns:xm="http://schemas.microsoft.com/office/excel/2006/main">
          <x14:cfRule type="dataBar" id="{7ca7221a-526c-49a4-85c6-9e3c9e489fe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Q7</xm:sqref>
        </x14:conditionalFormatting>
        <x14:conditionalFormatting xmlns:xm="http://schemas.microsoft.com/office/excel/2006/main">
          <x14:cfRule type="dataBar" id="{add0c9be-9702-4750-9b26-55623103c07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R7</xm:sqref>
        </x14:conditionalFormatting>
        <x14:conditionalFormatting xmlns:xm="http://schemas.microsoft.com/office/excel/2006/main">
          <x14:cfRule type="dataBar" id="{410c49d2-5a75-4f22-a1d8-2c18c5365c2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S7:T7</xm:sqref>
        </x14:conditionalFormatting>
        <x14:conditionalFormatting xmlns:xm="http://schemas.microsoft.com/office/excel/2006/main">
          <x14:cfRule type="dataBar" id="{8788aa4b-1467-482e-8024-97f46992046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Q18</xm:sqref>
        </x14:conditionalFormatting>
        <x14:conditionalFormatting xmlns:xm="http://schemas.microsoft.com/office/excel/2006/main">
          <x14:cfRule type="dataBar" id="{aeaddcf5-ef0c-4d7d-9094-3ebd043b3ec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R18</xm:sqref>
        </x14:conditionalFormatting>
        <x14:conditionalFormatting xmlns:xm="http://schemas.microsoft.com/office/excel/2006/main">
          <x14:cfRule type="dataBar" id="{c97fac3a-6052-43f0-a626-841a4b1c6a6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Q19</xm:sqref>
        </x14:conditionalFormatting>
        <x14:conditionalFormatting xmlns:xm="http://schemas.microsoft.com/office/excel/2006/main">
          <x14:cfRule type="dataBar" id="{b56445b9-8d53-41fb-8ad9-f45871347d5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R19</xm:sqref>
        </x14:conditionalFormatting>
        <x14:conditionalFormatting xmlns:xm="http://schemas.microsoft.com/office/excel/2006/main">
          <x14:cfRule type="dataBar" id="{6790c209-026c-4938-a826-f05f3f1c700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B20</xm:sqref>
        </x14:conditionalFormatting>
        <x14:conditionalFormatting xmlns:xm="http://schemas.microsoft.com/office/excel/2006/main">
          <x14:cfRule type="dataBar" id="{f90a904f-ce0e-4122-9541-e12422ff849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D20</xm:sqref>
        </x14:conditionalFormatting>
        <x14:conditionalFormatting xmlns:xm="http://schemas.microsoft.com/office/excel/2006/main">
          <x14:cfRule type="dataBar" id="{5485ca64-2579-4900-aed0-2f6df5e268c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F20</xm:sqref>
        </x14:conditionalFormatting>
        <x14:conditionalFormatting xmlns:xm="http://schemas.microsoft.com/office/excel/2006/main">
          <x14:cfRule type="dataBar" id="{28912948-47ea-469a-b9b1-a605a8c1990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L20</xm:sqref>
        </x14:conditionalFormatting>
        <x14:conditionalFormatting xmlns:xm="http://schemas.microsoft.com/office/excel/2006/main">
          <x14:cfRule type="dataBar" id="{e15c44f8-417d-47df-9545-18f01dcdea9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M20</xm:sqref>
        </x14:conditionalFormatting>
        <x14:conditionalFormatting xmlns:xm="http://schemas.microsoft.com/office/excel/2006/main">
          <x14:cfRule type="dataBar" id="{0af63aa6-9614-4c20-b8c9-b017d82dd4c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N20</xm:sqref>
        </x14:conditionalFormatting>
        <x14:conditionalFormatting xmlns:xm="http://schemas.microsoft.com/office/excel/2006/main">
          <x14:cfRule type="dataBar" id="{2e4f6078-f7b6-4206-b807-6122c5cc1c1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O20</xm:sqref>
        </x14:conditionalFormatting>
        <x14:conditionalFormatting xmlns:xm="http://schemas.microsoft.com/office/excel/2006/main">
          <x14:cfRule type="dataBar" id="{80a6e52b-d48c-49a2-abc8-c02324f40e9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P20</xm:sqref>
        </x14:conditionalFormatting>
        <x14:conditionalFormatting xmlns:xm="http://schemas.microsoft.com/office/excel/2006/main">
          <x14:cfRule type="dataBar" id="{cc5f5315-fd03-434a-b2d7-9b9d18bb218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Q20</xm:sqref>
        </x14:conditionalFormatting>
        <x14:conditionalFormatting xmlns:xm="http://schemas.microsoft.com/office/excel/2006/main">
          <x14:cfRule type="dataBar" id="{b4463672-a8d4-4760-936f-65d99214b01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R20</xm:sqref>
        </x14:conditionalFormatting>
        <x14:conditionalFormatting xmlns:xm="http://schemas.microsoft.com/office/excel/2006/main">
          <x14:cfRule type="dataBar" id="{f0091ad1-ef53-4614-8a0c-db1cdcdfcf5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S20:T20</xm:sqref>
        </x14:conditionalFormatting>
        <x14:conditionalFormatting xmlns:xm="http://schemas.microsoft.com/office/excel/2006/main">
          <x14:cfRule type="dataBar" id="{f301ae56-e580-4fb2-920b-5628f43349c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B21</xm:sqref>
        </x14:conditionalFormatting>
        <x14:conditionalFormatting xmlns:xm="http://schemas.microsoft.com/office/excel/2006/main">
          <x14:cfRule type="dataBar" id="{3f3b27a6-bdaa-4a48-86bf-e16baeb6d61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D21</xm:sqref>
        </x14:conditionalFormatting>
        <x14:conditionalFormatting xmlns:xm="http://schemas.microsoft.com/office/excel/2006/main">
          <x14:cfRule type="dataBar" id="{f19a841c-e28b-4c6f-bd5f-87346c49c05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F21</xm:sqref>
        </x14:conditionalFormatting>
        <x14:conditionalFormatting xmlns:xm="http://schemas.microsoft.com/office/excel/2006/main">
          <x14:cfRule type="dataBar" id="{3dc05940-e0f1-4b28-8bba-ba758544602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L21</xm:sqref>
        </x14:conditionalFormatting>
        <x14:conditionalFormatting xmlns:xm="http://schemas.microsoft.com/office/excel/2006/main">
          <x14:cfRule type="dataBar" id="{fbf0d94c-78b0-48e3-b734-f8c08dff226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M21</xm:sqref>
        </x14:conditionalFormatting>
        <x14:conditionalFormatting xmlns:xm="http://schemas.microsoft.com/office/excel/2006/main">
          <x14:cfRule type="dataBar" id="{1adbfad8-a9b7-4ffe-8bf9-b08cebaf035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N21</xm:sqref>
        </x14:conditionalFormatting>
        <x14:conditionalFormatting xmlns:xm="http://schemas.microsoft.com/office/excel/2006/main">
          <x14:cfRule type="dataBar" id="{450380b6-ebb5-4106-b149-b12057b7b29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O21</xm:sqref>
        </x14:conditionalFormatting>
        <x14:conditionalFormatting xmlns:xm="http://schemas.microsoft.com/office/excel/2006/main">
          <x14:cfRule type="dataBar" id="{5e5c22f7-b542-4cfd-80c6-115e0e64bb0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P21</xm:sqref>
        </x14:conditionalFormatting>
        <x14:conditionalFormatting xmlns:xm="http://schemas.microsoft.com/office/excel/2006/main">
          <x14:cfRule type="dataBar" id="{69d316df-2154-427e-8553-41ffc7563bb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Q21</xm:sqref>
        </x14:conditionalFormatting>
        <x14:conditionalFormatting xmlns:xm="http://schemas.microsoft.com/office/excel/2006/main">
          <x14:cfRule type="dataBar" id="{9d84169e-239a-40c7-ba22-fd3ff71c814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R21</xm:sqref>
        </x14:conditionalFormatting>
        <x14:conditionalFormatting xmlns:xm="http://schemas.microsoft.com/office/excel/2006/main">
          <x14:cfRule type="dataBar" id="{5173c590-514c-4ea5-9cd7-2ae98c8eb59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S21:T21</xm:sqref>
        </x14:conditionalFormatting>
        <x14:conditionalFormatting xmlns:xm="http://schemas.microsoft.com/office/excel/2006/main">
          <x14:cfRule type="dataBar" id="{cf6e64b9-fb8a-4d9c-a044-c00d8213e7f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D22</xm:sqref>
        </x14:conditionalFormatting>
        <x14:conditionalFormatting xmlns:xm="http://schemas.microsoft.com/office/excel/2006/main">
          <x14:cfRule type="dataBar" id="{85c0643d-18de-4b02-b8ad-94112faf370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F22</xm:sqref>
        </x14:conditionalFormatting>
        <x14:conditionalFormatting xmlns:xm="http://schemas.microsoft.com/office/excel/2006/main">
          <x14:cfRule type="dataBar" id="{bc4ea67b-fa03-40bd-858a-8e665c0c215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D23</xm:sqref>
        </x14:conditionalFormatting>
        <x14:conditionalFormatting xmlns:xm="http://schemas.microsoft.com/office/excel/2006/main">
          <x14:cfRule type="dataBar" id="{24683f55-240a-4cda-821c-410bd781536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F23</xm:sqref>
        </x14:conditionalFormatting>
        <x14:conditionalFormatting xmlns:xm="http://schemas.microsoft.com/office/excel/2006/main">
          <x14:cfRule type="dataBar" id="{ccfd7201-b717-4251-8ac0-dd29bdfa802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Q24</xm:sqref>
        </x14:conditionalFormatting>
        <x14:conditionalFormatting xmlns:xm="http://schemas.microsoft.com/office/excel/2006/main">
          <x14:cfRule type="dataBar" id="{114a3e2c-8541-481a-a769-a36102ef070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R24</xm:sqref>
        </x14:conditionalFormatting>
        <x14:conditionalFormatting xmlns:xm="http://schemas.microsoft.com/office/excel/2006/main">
          <x14:cfRule type="dataBar" id="{05034774-3a70-457f-a130-829a93760f7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D26</xm:sqref>
        </x14:conditionalFormatting>
        <x14:conditionalFormatting xmlns:xm="http://schemas.microsoft.com/office/excel/2006/main">
          <x14:cfRule type="dataBar" id="{bb147ec3-c00b-418f-a8fc-435a2684310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D27</xm:sqref>
        </x14:conditionalFormatting>
        <x14:conditionalFormatting xmlns:xm="http://schemas.microsoft.com/office/excel/2006/main">
          <x14:cfRule type="dataBar" id="{37079e9c-0f6c-4209-b91e-c40de4f6cd9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F27</xm:sqref>
        </x14:conditionalFormatting>
        <x14:conditionalFormatting xmlns:xm="http://schemas.microsoft.com/office/excel/2006/main">
          <x14:cfRule type="dataBar" id="{cfeb153f-f5a8-4dde-bcd1-0ac6bf355f0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Q27</xm:sqref>
        </x14:conditionalFormatting>
        <x14:conditionalFormatting xmlns:xm="http://schemas.microsoft.com/office/excel/2006/main">
          <x14:cfRule type="dataBar" id="{8b16137a-c6f9-4bd6-922a-dc440b47ef2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R27</xm:sqref>
        </x14:conditionalFormatting>
        <x14:conditionalFormatting xmlns:xm="http://schemas.microsoft.com/office/excel/2006/main">
          <x14:cfRule type="dataBar" id="{3a9e2ee2-1d53-4ca3-99da-a0b606a518c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Q28</xm:sqref>
        </x14:conditionalFormatting>
        <x14:conditionalFormatting xmlns:xm="http://schemas.microsoft.com/office/excel/2006/main">
          <x14:cfRule type="dataBar" id="{09582028-212a-44be-a5a4-01ce8b48ee3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R28</xm:sqref>
        </x14:conditionalFormatting>
        <x14:conditionalFormatting xmlns:xm="http://schemas.microsoft.com/office/excel/2006/main">
          <x14:cfRule type="dataBar" id="{fe21c858-c2d1-482c-ad4e-82843d1d6f3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Q29</xm:sqref>
        </x14:conditionalFormatting>
        <x14:conditionalFormatting xmlns:xm="http://schemas.microsoft.com/office/excel/2006/main">
          <x14:cfRule type="dataBar" id="{62115494-ddd9-45c1-8ec3-91c59d0a9d7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R29</xm:sqref>
        </x14:conditionalFormatting>
        <x14:conditionalFormatting xmlns:xm="http://schemas.microsoft.com/office/excel/2006/main">
          <x14:cfRule type="dataBar" id="{8a9b7adf-3516-4aa1-bd3b-4e028f5580a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Q30</xm:sqref>
        </x14:conditionalFormatting>
        <x14:conditionalFormatting xmlns:xm="http://schemas.microsoft.com/office/excel/2006/main">
          <x14:cfRule type="dataBar" id="{d857dd49-0dba-4b52-ab76-d0e36d54ed3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R30</xm:sqref>
        </x14:conditionalFormatting>
        <x14:conditionalFormatting xmlns:xm="http://schemas.microsoft.com/office/excel/2006/main">
          <x14:cfRule type="dataBar" id="{f740cd34-2761-4887-8e15-24991384193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Q31</xm:sqref>
        </x14:conditionalFormatting>
        <x14:conditionalFormatting xmlns:xm="http://schemas.microsoft.com/office/excel/2006/main">
          <x14:cfRule type="dataBar" id="{fe15f711-bd11-4870-bd39-5ddeb67ff80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R31</xm:sqref>
        </x14:conditionalFormatting>
        <x14:conditionalFormatting xmlns:xm="http://schemas.microsoft.com/office/excel/2006/main">
          <x14:cfRule type="dataBar" id="{9dd39b30-75b2-4dd8-a6fd-b3bdf637f0a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Q32</xm:sqref>
        </x14:conditionalFormatting>
        <x14:conditionalFormatting xmlns:xm="http://schemas.microsoft.com/office/excel/2006/main">
          <x14:cfRule type="dataBar" id="{440c90bd-3b2e-42fd-b592-e84f98e0b61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R32</xm:sqref>
        </x14:conditionalFormatting>
        <x14:conditionalFormatting xmlns:xm="http://schemas.microsoft.com/office/excel/2006/main">
          <x14:cfRule type="dataBar" id="{5ca59695-be0e-4ab3-b55a-bae87dbb454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D33</xm:sqref>
        </x14:conditionalFormatting>
        <x14:conditionalFormatting xmlns:xm="http://schemas.microsoft.com/office/excel/2006/main">
          <x14:cfRule type="dataBar" id="{fcf9bf54-6ff9-4e25-a8b6-91f76cd0eb0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F33</xm:sqref>
        </x14:conditionalFormatting>
        <x14:conditionalFormatting xmlns:xm="http://schemas.microsoft.com/office/excel/2006/main">
          <x14:cfRule type="dataBar" id="{361ae061-e884-4f00-8df8-2effc4d005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B3:B33</xm:sqref>
        </x14:conditionalFormatting>
        <x14:conditionalFormatting xmlns:xm="http://schemas.microsoft.com/office/excel/2006/main">
          <x14:cfRule type="dataBar" id="{ad7454ab-ad13-477c-8341-9a56be042ea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B18:B33</xm:sqref>
        </x14:conditionalFormatting>
        <x14:conditionalFormatting xmlns:xm="http://schemas.microsoft.com/office/excel/2006/main">
          <x14:cfRule type="dataBar" id="{e01b6e50-3db1-4069-aa13-5e62f48c8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G3:G73</xm:sqref>
        </x14:conditionalFormatting>
        <x14:conditionalFormatting xmlns:xm="http://schemas.microsoft.com/office/excel/2006/main">
          <x14:cfRule type="dataBar" id="{73846ca6-089b-4835-bff8-6cd40f590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L3:L73</xm:sqref>
        </x14:conditionalFormatting>
        <x14:conditionalFormatting xmlns:xm="http://schemas.microsoft.com/office/excel/2006/main">
          <x14:cfRule type="dataBar" id="{beb1a4f0-0245-49ea-84e5-45d0e9277b9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L18:L73</xm:sqref>
        </x14:conditionalFormatting>
        <x14:conditionalFormatting xmlns:xm="http://schemas.microsoft.com/office/excel/2006/main">
          <x14:cfRule type="dataBar" id="{06e44548-10d6-4a5f-b5b7-9177b22bc3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M3:M73</xm:sqref>
        </x14:conditionalFormatting>
        <x14:conditionalFormatting xmlns:xm="http://schemas.microsoft.com/office/excel/2006/main">
          <x14:cfRule type="dataBar" id="{57929118-0c6d-4db8-85c0-366d5dc1b3f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M18:M73</xm:sqref>
        </x14:conditionalFormatting>
        <x14:conditionalFormatting xmlns:xm="http://schemas.microsoft.com/office/excel/2006/main">
          <x14:cfRule type="dataBar" id="{33390651-227f-40a4-980b-b6625c7bb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N3:N73</xm:sqref>
        </x14:conditionalFormatting>
        <x14:conditionalFormatting xmlns:xm="http://schemas.microsoft.com/office/excel/2006/main">
          <x14:cfRule type="dataBar" id="{0210dd34-2ca7-492d-94e9-3cab4397944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N18:N73</xm:sqref>
        </x14:conditionalFormatting>
        <x14:conditionalFormatting xmlns:xm="http://schemas.microsoft.com/office/excel/2006/main">
          <x14:cfRule type="dataBar" id="{e7a74a67-5a4f-4d60-8325-b2ca664ce6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O3:O73</xm:sqref>
        </x14:conditionalFormatting>
        <x14:conditionalFormatting xmlns:xm="http://schemas.microsoft.com/office/excel/2006/main">
          <x14:cfRule type="dataBar" id="{be0712f3-c163-4760-9997-1baf3951e2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O18:O73</xm:sqref>
        </x14:conditionalFormatting>
        <x14:conditionalFormatting xmlns:xm="http://schemas.microsoft.com/office/excel/2006/main">
          <x14:cfRule type="dataBar" id="{6f098724-fa54-402f-ad25-5811757e8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P3:P73</xm:sqref>
        </x14:conditionalFormatting>
        <x14:conditionalFormatting xmlns:xm="http://schemas.microsoft.com/office/excel/2006/main">
          <x14:cfRule type="dataBar" id="{cf2799ac-9f42-4e8f-8846-06c213cf72e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P18:P73</xm:sqref>
        </x14:conditionalFormatting>
        <x14:conditionalFormatting xmlns:xm="http://schemas.microsoft.com/office/excel/2006/main">
          <x14:cfRule type="dataBar" id="{7a3d1e2f-54ab-41e5-870b-2c4da7c4c2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Q3:Q73</xm:sqref>
        </x14:conditionalFormatting>
        <x14:conditionalFormatting xmlns:xm="http://schemas.microsoft.com/office/excel/2006/main">
          <x14:cfRule type="dataBar" id="{4fb99dca-08ed-441e-94ff-0eeb29742dd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Q18:Q73</xm:sqref>
        </x14:conditionalFormatting>
        <x14:conditionalFormatting xmlns:xm="http://schemas.microsoft.com/office/excel/2006/main">
          <x14:cfRule type="dataBar" id="{f385c505-4322-4a46-82cb-497d175b69d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Q22:Q23</xm:sqref>
        </x14:conditionalFormatting>
        <x14:conditionalFormatting xmlns:xm="http://schemas.microsoft.com/office/excel/2006/main">
          <x14:cfRule type="dataBar" id="{eb9b9d87-8eaf-48f9-870b-c8c71864889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Q25:Q26</xm:sqref>
        </x14:conditionalFormatting>
        <x14:conditionalFormatting xmlns:xm="http://schemas.microsoft.com/office/excel/2006/main">
          <x14:cfRule type="dataBar" id="{b52de214-0b61-4930-a44a-f17e44dc2b5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Q33:Q73</xm:sqref>
        </x14:conditionalFormatting>
        <x14:conditionalFormatting xmlns:xm="http://schemas.microsoft.com/office/excel/2006/main">
          <x14:cfRule type="dataBar" id="{8d68b0cf-a0ff-43bd-bb14-39bbbeb71c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R3:R73</xm:sqref>
        </x14:conditionalFormatting>
        <x14:conditionalFormatting xmlns:xm="http://schemas.microsoft.com/office/excel/2006/main">
          <x14:cfRule type="dataBar" id="{0442dcf5-4c26-4661-83d2-9e089be4333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R18:R73</xm:sqref>
        </x14:conditionalFormatting>
        <x14:conditionalFormatting xmlns:xm="http://schemas.microsoft.com/office/excel/2006/main">
          <x14:cfRule type="dataBar" id="{2ec1343a-3da6-41e1-bc4c-402aaa091d5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R22:R23</xm:sqref>
        </x14:conditionalFormatting>
        <x14:conditionalFormatting xmlns:xm="http://schemas.microsoft.com/office/excel/2006/main">
          <x14:cfRule type="dataBar" id="{2fe9f6ac-6a17-4b5b-b72d-e6058c02aa4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R25:R26</xm:sqref>
        </x14:conditionalFormatting>
        <x14:conditionalFormatting xmlns:xm="http://schemas.microsoft.com/office/excel/2006/main">
          <x14:cfRule type="dataBar" id="{abd33d51-d294-40a7-87e4-50f80033f70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R33:R73</xm:sqref>
        </x14:conditionalFormatting>
        <x14:conditionalFormatting xmlns:xm="http://schemas.microsoft.com/office/excel/2006/main">
          <x14:cfRule type="dataBar" id="{e850373a-29ba-4ba2-b456-7364f8cf2a3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T3:T73</xm:sqref>
        </x14:conditionalFormatting>
        <x14:conditionalFormatting xmlns:xm="http://schemas.microsoft.com/office/excel/2006/main">
          <x14:cfRule type="dataBar" id="{f9589f1f-6662-4c2b-9e39-86b286c2851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G3 F4:G6 L4:L6 F8:G17 L8:L17</xm:sqref>
        </x14:conditionalFormatting>
        <x14:conditionalFormatting xmlns:xm="http://schemas.microsoft.com/office/excel/2006/main">
          <x14:cfRule type="dataBar" id="{53d548e3-ad4d-4919-9e75-973b4e71d33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S3:T33 S34:S73</xm:sqref>
        </x14:conditionalFormatting>
        <x14:conditionalFormatting xmlns:xm="http://schemas.microsoft.com/office/excel/2006/main">
          <x14:cfRule type="dataBar" id="{61e81951-15ab-4a97-a4cd-5a052ace4dd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B4:B6 B8:B17</xm:sqref>
        </x14:conditionalFormatting>
        <x14:conditionalFormatting xmlns:xm="http://schemas.microsoft.com/office/excel/2006/main">
          <x14:cfRule type="dataBar" id="{600afcef-5fef-4382-9232-f782c7bab8f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D4:D6 D8:D17</xm:sqref>
        </x14:conditionalFormatting>
        <x14:conditionalFormatting xmlns:xm="http://schemas.microsoft.com/office/excel/2006/main">
          <x14:cfRule type="dataBar" id="{08c62d65-c147-4107-a391-4549a5447d1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M4:M6 M8:M17</xm:sqref>
        </x14:conditionalFormatting>
        <x14:conditionalFormatting xmlns:xm="http://schemas.microsoft.com/office/excel/2006/main">
          <x14:cfRule type="dataBar" id="{ff41d12d-1d7c-48ef-b5d4-65e408438c4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N4:N6 N8:N17</xm:sqref>
        </x14:conditionalFormatting>
        <x14:conditionalFormatting xmlns:xm="http://schemas.microsoft.com/office/excel/2006/main">
          <x14:cfRule type="dataBar" id="{db229ba3-1b1a-40e2-9fdd-4efbb5aa085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O4:O6 O8:O17</xm:sqref>
        </x14:conditionalFormatting>
        <x14:conditionalFormatting xmlns:xm="http://schemas.microsoft.com/office/excel/2006/main">
          <x14:cfRule type="dataBar" id="{5af47508-3aab-45be-8034-5402efdd022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P4:P6 P8:P17</xm:sqref>
        </x14:conditionalFormatting>
        <x14:conditionalFormatting xmlns:xm="http://schemas.microsoft.com/office/excel/2006/main">
          <x14:cfRule type="dataBar" id="{8384ccb2-ba17-4317-8fca-2bdcbf69a9f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Q4:Q6 Q8:Q17</xm:sqref>
        </x14:conditionalFormatting>
        <x14:conditionalFormatting xmlns:xm="http://schemas.microsoft.com/office/excel/2006/main">
          <x14:cfRule type="dataBar" id="{a1438959-f1bf-47bc-97d9-63d130e46c8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R4:R6 R8:R17</xm:sqref>
        </x14:conditionalFormatting>
        <x14:conditionalFormatting xmlns:xm="http://schemas.microsoft.com/office/excel/2006/main">
          <x14:cfRule type="dataBar" id="{bce71f45-ce83-4c5f-b5c3-87258d16a6e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S4:T6 S8:T17</xm:sqref>
        </x14:conditionalFormatting>
        <x14:conditionalFormatting xmlns:xm="http://schemas.microsoft.com/office/excel/2006/main">
          <x14:cfRule type="dataBar" id="{fa525546-8a65-45f7-a3e8-3cc164997a9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F7:G7 L7</xm:sqref>
        </x14:conditionalFormatting>
        <x14:conditionalFormatting xmlns:xm="http://schemas.microsoft.com/office/excel/2006/main">
          <x14:cfRule type="dataBar" id="{adcc68df-b46d-4fcd-9788-fada3481aaf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B18:B19 B22:B32</xm:sqref>
        </x14:conditionalFormatting>
        <x14:conditionalFormatting xmlns:xm="http://schemas.microsoft.com/office/excel/2006/main">
          <x14:cfRule type="dataBar" id="{89e04d20-c0e9-4fe1-8726-042e8f3c6f7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D18:D19 D24:D25 D28:D32</xm:sqref>
        </x14:conditionalFormatting>
        <x14:conditionalFormatting xmlns:xm="http://schemas.microsoft.com/office/excel/2006/main">
          <x14:cfRule type="dataBar" id="{d22ffb22-dfe8-4922-926f-7e28ac2192a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F18:G19 L18:L19 G20:G22 L22 G23 L23 F24:G25 L24:L25 F26:G26 L26 G27 L27 F28:G32 L28:L32 G33 L33:L73</xm:sqref>
        </x14:conditionalFormatting>
        <x14:conditionalFormatting xmlns:xm="http://schemas.microsoft.com/office/excel/2006/main">
          <x14:cfRule type="dataBar" id="{ba6b4128-85ea-42ca-899e-9a60585788d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M18:M19 M22:M73</xm:sqref>
        </x14:conditionalFormatting>
        <x14:conditionalFormatting xmlns:xm="http://schemas.microsoft.com/office/excel/2006/main">
          <x14:cfRule type="dataBar" id="{184d1ef8-c954-430a-b49f-3a424ddb681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N18:N19 N22:N73</xm:sqref>
        </x14:conditionalFormatting>
        <x14:conditionalFormatting xmlns:xm="http://schemas.microsoft.com/office/excel/2006/main">
          <x14:cfRule type="dataBar" id="{b8065701-e033-44f3-b854-b073b233094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O18:O19 O22:O73</xm:sqref>
        </x14:conditionalFormatting>
        <x14:conditionalFormatting xmlns:xm="http://schemas.microsoft.com/office/excel/2006/main">
          <x14:cfRule type="dataBar" id="{4e6ba313-c5b7-4543-a125-fa207d25583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P18:P19 P22:P73</xm:sqref>
        </x14:conditionalFormatting>
        <x14:conditionalFormatting xmlns:xm="http://schemas.microsoft.com/office/excel/2006/main">
          <x14:cfRule type="dataBar" id="{ac1b30b1-e8c1-4246-9c10-17175b0d605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S18:T33 S34:S73</xm:sqref>
        </x14:conditionalFormatting>
        <x14:conditionalFormatting xmlns:xm="http://schemas.microsoft.com/office/excel/2006/main">
          <x14:cfRule type="dataBar" id="{714d9e53-a804-48bb-95b7-dbef5c845c3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S18:T19 S22:T33 S34:S73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AB44"/>
  <sheetViews>
    <sheetView topLeftCell="G1" workbookViewId="0">
      <selection activeCell="H43" sqref="H43"/>
    </sheetView>
  </sheetViews>
  <sheetFormatPr defaultColWidth="9" defaultRowHeight="13.5"/>
  <cols>
    <col min="11" max="11" width="13.1238938053097" style="1" customWidth="1"/>
    <col min="12" max="12" width="12.6283185840708"/>
    <col min="22" max="22" width="9" style="4" customWidth="1"/>
    <col min="23" max="28" width="12.6283185840708" style="1" customWidth="1"/>
  </cols>
  <sheetData>
    <row r="5" ht="27" customHeight="1" spans="4:28">
      <c r="D5" s="5" t="s">
        <v>329</v>
      </c>
      <c r="E5" s="6" t="s">
        <v>330</v>
      </c>
      <c r="F5" s="6" t="s">
        <v>331</v>
      </c>
      <c r="G5" s="6" t="s">
        <v>332</v>
      </c>
      <c r="H5" s="6" t="s">
        <v>4</v>
      </c>
      <c r="I5" s="6" t="s">
        <v>333</v>
      </c>
      <c r="J5" s="6" t="s">
        <v>334</v>
      </c>
      <c r="K5" s="6" t="s">
        <v>11</v>
      </c>
      <c r="L5" s="6" t="s">
        <v>335</v>
      </c>
      <c r="M5" s="6" t="s">
        <v>336</v>
      </c>
      <c r="N5" s="6" t="s">
        <v>337</v>
      </c>
      <c r="O5" s="6" t="s">
        <v>15</v>
      </c>
      <c r="P5" s="6" t="s">
        <v>16</v>
      </c>
      <c r="Q5" s="6" t="s">
        <v>17</v>
      </c>
      <c r="R5" s="6" t="s">
        <v>338</v>
      </c>
      <c r="S5" s="6" t="s">
        <v>18</v>
      </c>
      <c r="T5" s="6" t="s">
        <v>19</v>
      </c>
      <c r="U5" s="6" t="s">
        <v>339</v>
      </c>
      <c r="W5" s="7" t="s">
        <v>340</v>
      </c>
      <c r="X5" s="7" t="s">
        <v>341</v>
      </c>
      <c r="Y5" s="7" t="s">
        <v>342</v>
      </c>
      <c r="Z5" s="7" t="s">
        <v>343</v>
      </c>
      <c r="AA5" s="7" t="s">
        <v>344</v>
      </c>
      <c r="AB5" s="7" t="s">
        <v>345</v>
      </c>
    </row>
    <row r="6" spans="4:28">
      <c r="D6" s="8" t="s">
        <v>346</v>
      </c>
      <c r="E6" s="9" t="s">
        <v>63</v>
      </c>
      <c r="F6" s="9">
        <v>1</v>
      </c>
      <c r="G6" s="9" t="s">
        <v>42</v>
      </c>
      <c r="H6" s="9" t="s">
        <v>50</v>
      </c>
      <c r="I6" s="9" t="s">
        <v>18</v>
      </c>
      <c r="J6" s="9" t="s">
        <v>347</v>
      </c>
      <c r="K6" s="9"/>
      <c r="L6" s="9">
        <v>10</v>
      </c>
      <c r="M6" s="9">
        <v>1</v>
      </c>
      <c r="N6" s="9">
        <v>10</v>
      </c>
      <c r="O6" s="9">
        <v>10</v>
      </c>
      <c r="P6" s="9">
        <v>0</v>
      </c>
      <c r="Q6" s="9">
        <v>0</v>
      </c>
      <c r="R6" s="9">
        <v>1</v>
      </c>
      <c r="S6" s="9">
        <v>1</v>
      </c>
      <c r="T6" s="9">
        <v>30</v>
      </c>
      <c r="U6" s="10" t="s">
        <v>45</v>
      </c>
      <c r="V6" s="4" t="s">
        <v>348</v>
      </c>
      <c r="W6">
        <f t="shared" ref="W6:W11" si="0">($L$6-$M6)*$N$6</f>
        <v>90</v>
      </c>
      <c r="X6">
        <f t="shared" ref="X6:X11" si="1">($L$7-M6)*$N$7</f>
        <v>140</v>
      </c>
      <c r="Y6">
        <f t="shared" ref="Y6:Y11" si="2">($L$8-$M6)*$N$8</f>
        <v>190</v>
      </c>
      <c r="Z6">
        <f t="shared" ref="Z6:Z11" si="3">($L$9-$M6)*$N$9</f>
        <v>290</v>
      </c>
      <c r="AA6">
        <f t="shared" ref="AA6:AA11" si="4">($L$10-$M6)*$N$10</f>
        <v>490</v>
      </c>
      <c r="AB6">
        <f t="shared" ref="AB6:AB11" si="5">($L$11-$M6)*$N$11</f>
        <v>790</v>
      </c>
    </row>
    <row r="7" spans="4:28">
      <c r="D7" s="8" t="s">
        <v>346</v>
      </c>
      <c r="E7" s="9" t="s">
        <v>63</v>
      </c>
      <c r="F7" s="9">
        <v>2</v>
      </c>
      <c r="G7" s="9" t="s">
        <v>42</v>
      </c>
      <c r="H7" s="9" t="s">
        <v>50</v>
      </c>
      <c r="I7" s="9" t="s">
        <v>18</v>
      </c>
      <c r="J7" s="9" t="s">
        <v>347</v>
      </c>
      <c r="K7" s="9"/>
      <c r="L7" s="9">
        <v>15</v>
      </c>
      <c r="M7" s="9">
        <v>4</v>
      </c>
      <c r="N7" s="9">
        <v>10</v>
      </c>
      <c r="O7" s="9">
        <v>10</v>
      </c>
      <c r="P7" s="9">
        <v>0</v>
      </c>
      <c r="Q7" s="9">
        <v>0</v>
      </c>
      <c r="R7" s="9">
        <v>1</v>
      </c>
      <c r="S7" s="9">
        <v>1</v>
      </c>
      <c r="T7" s="9">
        <v>30</v>
      </c>
      <c r="U7" s="10" t="s">
        <v>45</v>
      </c>
      <c r="V7" s="4" t="s">
        <v>349</v>
      </c>
      <c r="W7">
        <f t="shared" si="0"/>
        <v>60</v>
      </c>
      <c r="X7">
        <f t="shared" si="1"/>
        <v>110</v>
      </c>
      <c r="Y7">
        <f t="shared" si="2"/>
        <v>160</v>
      </c>
      <c r="Z7">
        <f t="shared" si="3"/>
        <v>260</v>
      </c>
      <c r="AA7">
        <f t="shared" si="4"/>
        <v>460</v>
      </c>
      <c r="AB7">
        <f t="shared" si="5"/>
        <v>760</v>
      </c>
    </row>
    <row r="8" spans="4:28">
      <c r="D8" s="8" t="s">
        <v>346</v>
      </c>
      <c r="E8" s="9" t="s">
        <v>63</v>
      </c>
      <c r="F8" s="9">
        <v>3</v>
      </c>
      <c r="G8" s="9" t="s">
        <v>42</v>
      </c>
      <c r="H8" s="9" t="s">
        <v>50</v>
      </c>
      <c r="I8" s="9" t="s">
        <v>18</v>
      </c>
      <c r="J8" s="9" t="s">
        <v>347</v>
      </c>
      <c r="K8" s="9"/>
      <c r="L8" s="9">
        <v>20</v>
      </c>
      <c r="M8" s="9">
        <v>8</v>
      </c>
      <c r="N8" s="9">
        <v>10</v>
      </c>
      <c r="O8" s="9">
        <v>10</v>
      </c>
      <c r="P8" s="9">
        <v>0</v>
      </c>
      <c r="Q8" s="9">
        <v>0</v>
      </c>
      <c r="R8" s="9">
        <v>1</v>
      </c>
      <c r="S8" s="9">
        <v>1</v>
      </c>
      <c r="T8" s="9">
        <v>30</v>
      </c>
      <c r="U8" s="10" t="s">
        <v>45</v>
      </c>
      <c r="V8" s="4" t="s">
        <v>350</v>
      </c>
      <c r="W8">
        <f t="shared" si="0"/>
        <v>20</v>
      </c>
      <c r="X8">
        <f t="shared" si="1"/>
        <v>70</v>
      </c>
      <c r="Y8">
        <f t="shared" si="2"/>
        <v>120</v>
      </c>
      <c r="Z8">
        <f t="shared" si="3"/>
        <v>220</v>
      </c>
      <c r="AA8">
        <f t="shared" si="4"/>
        <v>420</v>
      </c>
      <c r="AB8">
        <f t="shared" si="5"/>
        <v>720</v>
      </c>
    </row>
    <row r="9" spans="4:28">
      <c r="D9" s="8" t="s">
        <v>346</v>
      </c>
      <c r="E9" s="9" t="s">
        <v>63</v>
      </c>
      <c r="F9" s="9">
        <v>3</v>
      </c>
      <c r="G9" s="9" t="s">
        <v>42</v>
      </c>
      <c r="H9" s="9" t="s">
        <v>50</v>
      </c>
      <c r="I9" s="9" t="s">
        <v>18</v>
      </c>
      <c r="J9" s="9" t="s">
        <v>347</v>
      </c>
      <c r="K9" s="9"/>
      <c r="L9" s="9">
        <v>30</v>
      </c>
      <c r="M9" s="9">
        <v>12</v>
      </c>
      <c r="N9" s="9">
        <v>10</v>
      </c>
      <c r="O9" s="9">
        <v>10</v>
      </c>
      <c r="P9" s="9">
        <v>0</v>
      </c>
      <c r="Q9" s="9">
        <v>0</v>
      </c>
      <c r="R9" s="9">
        <v>1</v>
      </c>
      <c r="S9" s="9">
        <v>1</v>
      </c>
      <c r="T9" s="9">
        <v>30</v>
      </c>
      <c r="U9" s="10" t="s">
        <v>45</v>
      </c>
      <c r="V9" s="4" t="s">
        <v>351</v>
      </c>
      <c r="W9">
        <f t="shared" si="0"/>
        <v>-20</v>
      </c>
      <c r="X9">
        <f t="shared" si="1"/>
        <v>30</v>
      </c>
      <c r="Y9">
        <f t="shared" si="2"/>
        <v>80</v>
      </c>
      <c r="Z9">
        <f t="shared" si="3"/>
        <v>180</v>
      </c>
      <c r="AA9">
        <f t="shared" si="4"/>
        <v>380</v>
      </c>
      <c r="AB9">
        <f t="shared" si="5"/>
        <v>680</v>
      </c>
    </row>
    <row r="10" spans="4:28">
      <c r="D10" s="8" t="s">
        <v>346</v>
      </c>
      <c r="E10" s="9" t="s">
        <v>63</v>
      </c>
      <c r="F10" s="9">
        <v>3</v>
      </c>
      <c r="G10" s="9" t="s">
        <v>42</v>
      </c>
      <c r="H10" s="9" t="s">
        <v>50</v>
      </c>
      <c r="I10" s="9" t="s">
        <v>18</v>
      </c>
      <c r="J10" s="9" t="s">
        <v>347</v>
      </c>
      <c r="K10" s="9"/>
      <c r="L10" s="9">
        <v>50</v>
      </c>
      <c r="M10" s="9">
        <v>16</v>
      </c>
      <c r="N10" s="9">
        <v>10</v>
      </c>
      <c r="O10" s="9">
        <v>10</v>
      </c>
      <c r="P10" s="9">
        <v>0</v>
      </c>
      <c r="Q10" s="9">
        <v>0</v>
      </c>
      <c r="R10" s="9">
        <v>1</v>
      </c>
      <c r="S10" s="9">
        <v>1</v>
      </c>
      <c r="T10" s="9">
        <v>30</v>
      </c>
      <c r="U10" s="10" t="s">
        <v>45</v>
      </c>
      <c r="V10" s="4" t="s">
        <v>352</v>
      </c>
      <c r="W10">
        <f t="shared" si="0"/>
        <v>-60</v>
      </c>
      <c r="X10">
        <f t="shared" si="1"/>
        <v>-10</v>
      </c>
      <c r="Y10">
        <f t="shared" si="2"/>
        <v>40</v>
      </c>
      <c r="Z10">
        <f t="shared" si="3"/>
        <v>140</v>
      </c>
      <c r="AA10">
        <f t="shared" si="4"/>
        <v>340</v>
      </c>
      <c r="AB10">
        <f t="shared" si="5"/>
        <v>640</v>
      </c>
    </row>
    <row r="11" spans="4:28">
      <c r="D11" s="8" t="s">
        <v>346</v>
      </c>
      <c r="E11" s="9" t="s">
        <v>63</v>
      </c>
      <c r="F11" s="9">
        <v>3</v>
      </c>
      <c r="G11" s="9" t="s">
        <v>42</v>
      </c>
      <c r="H11" s="9" t="s">
        <v>50</v>
      </c>
      <c r="I11" s="9" t="s">
        <v>18</v>
      </c>
      <c r="J11" s="9" t="s">
        <v>347</v>
      </c>
      <c r="K11" s="9"/>
      <c r="L11" s="9">
        <v>80</v>
      </c>
      <c r="M11" s="9">
        <v>20</v>
      </c>
      <c r="N11" s="9">
        <v>10</v>
      </c>
      <c r="O11" s="9">
        <v>10</v>
      </c>
      <c r="P11" s="9">
        <v>0</v>
      </c>
      <c r="Q11" s="9">
        <v>0</v>
      </c>
      <c r="R11" s="9">
        <v>1</v>
      </c>
      <c r="S11" s="9">
        <v>1</v>
      </c>
      <c r="T11" s="9">
        <v>30</v>
      </c>
      <c r="U11" s="10" t="s">
        <v>45</v>
      </c>
      <c r="V11" s="4" t="s">
        <v>353</v>
      </c>
      <c r="W11">
        <f t="shared" si="0"/>
        <v>-100</v>
      </c>
      <c r="X11">
        <f t="shared" si="1"/>
        <v>-50</v>
      </c>
      <c r="Y11">
        <f t="shared" si="2"/>
        <v>0</v>
      </c>
      <c r="Z11">
        <f t="shared" si="3"/>
        <v>100</v>
      </c>
      <c r="AA11">
        <f t="shared" si="4"/>
        <v>300</v>
      </c>
      <c r="AB11">
        <f t="shared" si="5"/>
        <v>600</v>
      </c>
    </row>
    <row r="15" ht="27" customHeight="1" spans="4:28">
      <c r="D15" s="5" t="s">
        <v>329</v>
      </c>
      <c r="E15" s="6" t="s">
        <v>330</v>
      </c>
      <c r="F15" s="6" t="s">
        <v>331</v>
      </c>
      <c r="G15" s="6" t="s">
        <v>332</v>
      </c>
      <c r="H15" s="6" t="s">
        <v>4</v>
      </c>
      <c r="I15" s="6" t="s">
        <v>333</v>
      </c>
      <c r="J15" s="6" t="s">
        <v>334</v>
      </c>
      <c r="K15" s="6" t="s">
        <v>11</v>
      </c>
      <c r="L15" s="6" t="s">
        <v>335</v>
      </c>
      <c r="M15" s="6" t="s">
        <v>336</v>
      </c>
      <c r="N15" s="6" t="s">
        <v>337</v>
      </c>
      <c r="O15" s="6" t="s">
        <v>15</v>
      </c>
      <c r="P15" s="6" t="s">
        <v>16</v>
      </c>
      <c r="Q15" s="6" t="s">
        <v>17</v>
      </c>
      <c r="R15" s="6" t="s">
        <v>338</v>
      </c>
      <c r="S15" s="6" t="s">
        <v>18</v>
      </c>
      <c r="T15" s="6" t="s">
        <v>19</v>
      </c>
      <c r="U15" s="6" t="s">
        <v>339</v>
      </c>
      <c r="W15" s="7" t="s">
        <v>340</v>
      </c>
      <c r="X15" s="7" t="s">
        <v>341</v>
      </c>
      <c r="Y15" s="7" t="s">
        <v>342</v>
      </c>
      <c r="Z15" s="7" t="s">
        <v>343</v>
      </c>
      <c r="AA15" s="7" t="s">
        <v>344</v>
      </c>
      <c r="AB15" s="7" t="s">
        <v>345</v>
      </c>
    </row>
    <row r="16" spans="4:28">
      <c r="D16" s="8" t="s">
        <v>346</v>
      </c>
      <c r="E16" s="9" t="s">
        <v>63</v>
      </c>
      <c r="F16" s="9">
        <v>1</v>
      </c>
      <c r="G16" s="9" t="s">
        <v>42</v>
      </c>
      <c r="H16" s="9" t="s">
        <v>50</v>
      </c>
      <c r="I16" s="9" t="s">
        <v>18</v>
      </c>
      <c r="J16" s="9" t="s">
        <v>347</v>
      </c>
      <c r="K16" s="11">
        <v>40</v>
      </c>
      <c r="L16" s="9">
        <v>100</v>
      </c>
      <c r="M16" s="9">
        <v>10</v>
      </c>
      <c r="N16" s="9">
        <v>1</v>
      </c>
      <c r="O16" s="9">
        <v>10</v>
      </c>
      <c r="P16" s="9">
        <v>0</v>
      </c>
      <c r="Q16" s="9">
        <v>0</v>
      </c>
      <c r="R16" s="9">
        <v>1</v>
      </c>
      <c r="S16" s="9">
        <v>1</v>
      </c>
      <c r="T16" s="9">
        <v>30</v>
      </c>
      <c r="U16" s="10" t="s">
        <v>45</v>
      </c>
      <c r="V16" s="4" t="s">
        <v>348</v>
      </c>
      <c r="W16" s="12">
        <f t="shared" ref="W16:W21" si="6">$L$16*(1-M16/($N$16+M16))</f>
        <v>9.09090909090909</v>
      </c>
      <c r="X16" s="12">
        <f t="shared" ref="X16:X21" si="7">$L$17*(1-M16/($N$17+M16))</f>
        <v>20</v>
      </c>
      <c r="Y16" s="12">
        <f t="shared" ref="Y16:Y21" si="8">$L$18*(1-M16/($N$18+M16))</f>
        <v>32.3076923076923</v>
      </c>
      <c r="Z16" s="12">
        <f t="shared" ref="Z16:Z21" si="9">$L$19*(1-M16/($N$19+M16))</f>
        <v>45.7142857142857</v>
      </c>
      <c r="AA16" s="12">
        <f t="shared" ref="AA16:AA21" si="10">$L$20*(1-M16/($N$20+M16))</f>
        <v>60</v>
      </c>
      <c r="AB16" s="12">
        <f t="shared" ref="AB16:AB21" si="11">$L$21*(1-M16/($N$21+M16))</f>
        <v>75</v>
      </c>
    </row>
    <row r="17" spans="4:28">
      <c r="D17" s="8" t="s">
        <v>346</v>
      </c>
      <c r="E17" s="9" t="s">
        <v>63</v>
      </c>
      <c r="F17" s="9">
        <v>2</v>
      </c>
      <c r="G17" s="9" t="s">
        <v>42</v>
      </c>
      <c r="H17" s="9" t="s">
        <v>50</v>
      </c>
      <c r="I17" s="9" t="s">
        <v>18</v>
      </c>
      <c r="J17" s="9" t="s">
        <v>347</v>
      </c>
      <c r="K17" s="11">
        <v>50</v>
      </c>
      <c r="L17" s="9">
        <v>120</v>
      </c>
      <c r="M17" s="9">
        <v>15</v>
      </c>
      <c r="N17" s="9">
        <v>2</v>
      </c>
      <c r="O17" s="9">
        <v>10</v>
      </c>
      <c r="P17" s="9">
        <v>0</v>
      </c>
      <c r="Q17" s="9">
        <v>0</v>
      </c>
      <c r="R17" s="9">
        <v>1</v>
      </c>
      <c r="S17" s="9">
        <v>1</v>
      </c>
      <c r="T17" s="9">
        <v>30</v>
      </c>
      <c r="U17" s="10" t="s">
        <v>45</v>
      </c>
      <c r="V17" s="4" t="s">
        <v>349</v>
      </c>
      <c r="W17" s="12">
        <f t="shared" si="6"/>
        <v>6.25</v>
      </c>
      <c r="X17" s="12">
        <f t="shared" si="7"/>
        <v>14.1176470588235</v>
      </c>
      <c r="Y17" s="12">
        <f t="shared" si="8"/>
        <v>23.3333333333333</v>
      </c>
      <c r="Z17" s="12">
        <f t="shared" si="9"/>
        <v>33.6842105263158</v>
      </c>
      <c r="AA17" s="12">
        <f t="shared" si="10"/>
        <v>45</v>
      </c>
      <c r="AB17" s="12">
        <f t="shared" si="11"/>
        <v>57.1428571428571</v>
      </c>
    </row>
    <row r="18" spans="4:28">
      <c r="D18" s="8" t="s">
        <v>346</v>
      </c>
      <c r="E18" s="9" t="s">
        <v>63</v>
      </c>
      <c r="F18" s="9">
        <v>3</v>
      </c>
      <c r="G18" s="9" t="s">
        <v>42</v>
      </c>
      <c r="H18" s="9" t="s">
        <v>50</v>
      </c>
      <c r="I18" s="9" t="s">
        <v>18</v>
      </c>
      <c r="J18" s="9" t="s">
        <v>347</v>
      </c>
      <c r="K18" s="11">
        <v>100</v>
      </c>
      <c r="L18" s="9">
        <v>140</v>
      </c>
      <c r="M18" s="9">
        <v>20</v>
      </c>
      <c r="N18" s="9">
        <v>3</v>
      </c>
      <c r="O18" s="9">
        <v>10</v>
      </c>
      <c r="P18" s="9">
        <v>0</v>
      </c>
      <c r="Q18" s="9">
        <v>0</v>
      </c>
      <c r="R18" s="9">
        <v>1</v>
      </c>
      <c r="S18" s="9">
        <v>1</v>
      </c>
      <c r="T18" s="9">
        <v>30</v>
      </c>
      <c r="U18" s="10" t="s">
        <v>45</v>
      </c>
      <c r="V18" s="4" t="s">
        <v>350</v>
      </c>
      <c r="W18" s="12">
        <f t="shared" si="6"/>
        <v>4.76190476190477</v>
      </c>
      <c r="X18" s="12">
        <f t="shared" si="7"/>
        <v>10.9090909090909</v>
      </c>
      <c r="Y18" s="12">
        <f t="shared" si="8"/>
        <v>18.2608695652174</v>
      </c>
      <c r="Z18" s="12">
        <f t="shared" si="9"/>
        <v>26.6666666666667</v>
      </c>
      <c r="AA18" s="12">
        <f t="shared" si="10"/>
        <v>36</v>
      </c>
      <c r="AB18" s="12">
        <f t="shared" si="11"/>
        <v>46.1538461538461</v>
      </c>
    </row>
    <row r="19" spans="4:28">
      <c r="D19" s="8" t="s">
        <v>346</v>
      </c>
      <c r="E19" s="9" t="s">
        <v>63</v>
      </c>
      <c r="F19" s="9">
        <v>4</v>
      </c>
      <c r="G19" s="9" t="s">
        <v>42</v>
      </c>
      <c r="H19" s="9" t="s">
        <v>50</v>
      </c>
      <c r="I19" s="9" t="s">
        <v>18</v>
      </c>
      <c r="J19" s="9" t="s">
        <v>347</v>
      </c>
      <c r="K19" s="11">
        <v>150</v>
      </c>
      <c r="L19" s="9">
        <v>160</v>
      </c>
      <c r="M19" s="9">
        <v>25</v>
      </c>
      <c r="N19" s="9">
        <v>4</v>
      </c>
      <c r="O19" s="9">
        <v>10</v>
      </c>
      <c r="P19" s="9">
        <v>0</v>
      </c>
      <c r="Q19" s="9">
        <v>0</v>
      </c>
      <c r="R19" s="9">
        <v>1</v>
      </c>
      <c r="S19" s="9">
        <v>1</v>
      </c>
      <c r="T19" s="9">
        <v>30</v>
      </c>
      <c r="U19" s="10" t="s">
        <v>45</v>
      </c>
      <c r="V19" s="4" t="s">
        <v>351</v>
      </c>
      <c r="W19" s="12">
        <f t="shared" si="6"/>
        <v>3.84615384615384</v>
      </c>
      <c r="X19" s="12">
        <f t="shared" si="7"/>
        <v>8.88888888888889</v>
      </c>
      <c r="Y19" s="12">
        <f t="shared" si="8"/>
        <v>15</v>
      </c>
      <c r="Z19" s="12">
        <f t="shared" si="9"/>
        <v>22.0689655172414</v>
      </c>
      <c r="AA19" s="12">
        <f t="shared" si="10"/>
        <v>30</v>
      </c>
      <c r="AB19" s="12">
        <f t="shared" si="11"/>
        <v>38.7096774193548</v>
      </c>
    </row>
    <row r="20" spans="4:28">
      <c r="D20" s="8" t="s">
        <v>346</v>
      </c>
      <c r="E20" s="9" t="s">
        <v>63</v>
      </c>
      <c r="F20" s="9">
        <v>5</v>
      </c>
      <c r="G20" s="9" t="s">
        <v>42</v>
      </c>
      <c r="H20" s="9" t="s">
        <v>50</v>
      </c>
      <c r="I20" s="9" t="s">
        <v>18</v>
      </c>
      <c r="J20" s="9" t="s">
        <v>347</v>
      </c>
      <c r="K20" s="11">
        <v>230</v>
      </c>
      <c r="L20" s="9">
        <v>180</v>
      </c>
      <c r="M20" s="9">
        <v>30</v>
      </c>
      <c r="N20" s="9">
        <v>5</v>
      </c>
      <c r="O20" s="9">
        <v>10</v>
      </c>
      <c r="P20" s="9">
        <v>0</v>
      </c>
      <c r="Q20" s="9">
        <v>0</v>
      </c>
      <c r="R20" s="9">
        <v>1</v>
      </c>
      <c r="S20" s="9">
        <v>1</v>
      </c>
      <c r="T20" s="9">
        <v>30</v>
      </c>
      <c r="U20" s="10" t="s">
        <v>45</v>
      </c>
      <c r="V20" s="4" t="s">
        <v>352</v>
      </c>
      <c r="W20" s="12">
        <f t="shared" si="6"/>
        <v>3.2258064516129</v>
      </c>
      <c r="X20" s="12">
        <f t="shared" si="7"/>
        <v>7.5</v>
      </c>
      <c r="Y20" s="12">
        <f t="shared" si="8"/>
        <v>12.7272727272727</v>
      </c>
      <c r="Z20" s="12">
        <f t="shared" si="9"/>
        <v>18.8235294117647</v>
      </c>
      <c r="AA20" s="12">
        <f t="shared" si="10"/>
        <v>25.7142857142857</v>
      </c>
      <c r="AB20" s="12">
        <f t="shared" si="11"/>
        <v>33.3333333333333</v>
      </c>
    </row>
    <row r="21" spans="4:28">
      <c r="D21" s="8" t="s">
        <v>346</v>
      </c>
      <c r="E21" s="9" t="s">
        <v>63</v>
      </c>
      <c r="F21" s="9">
        <v>6</v>
      </c>
      <c r="G21" s="9" t="s">
        <v>42</v>
      </c>
      <c r="H21" s="9" t="s">
        <v>50</v>
      </c>
      <c r="I21" s="9" t="s">
        <v>18</v>
      </c>
      <c r="J21" s="9" t="s">
        <v>347</v>
      </c>
      <c r="K21" s="11">
        <v>300</v>
      </c>
      <c r="L21" s="9">
        <v>200</v>
      </c>
      <c r="M21" s="9">
        <v>35</v>
      </c>
      <c r="N21" s="9">
        <v>6</v>
      </c>
      <c r="O21" s="9">
        <v>10</v>
      </c>
      <c r="P21" s="9">
        <v>0</v>
      </c>
      <c r="Q21" s="9">
        <v>0</v>
      </c>
      <c r="R21" s="9">
        <v>1</v>
      </c>
      <c r="S21" s="9">
        <v>1</v>
      </c>
      <c r="T21" s="9">
        <v>30</v>
      </c>
      <c r="U21" s="10" t="s">
        <v>45</v>
      </c>
      <c r="V21" s="4" t="s">
        <v>353</v>
      </c>
      <c r="W21" s="12">
        <f t="shared" si="6"/>
        <v>2.77777777777778</v>
      </c>
      <c r="X21" s="12">
        <f t="shared" si="7"/>
        <v>6.48648648648649</v>
      </c>
      <c r="Y21" s="12">
        <f t="shared" si="8"/>
        <v>11.0526315789474</v>
      </c>
      <c r="Z21" s="12">
        <f t="shared" si="9"/>
        <v>16.4102564102564</v>
      </c>
      <c r="AA21" s="12">
        <f t="shared" si="10"/>
        <v>22.5</v>
      </c>
      <c r="AB21" s="12">
        <f t="shared" si="11"/>
        <v>29.2682926829268</v>
      </c>
    </row>
    <row r="24" spans="4:28">
      <c r="W24">
        <f t="shared" ref="W24:W29" si="12">K16/W16</f>
        <v>4.4</v>
      </c>
      <c r="AB24">
        <f>AB16*0.5</f>
        <v>37.5</v>
      </c>
    </row>
    <row r="25" spans="4:28">
      <c r="W25">
        <f t="shared" si="12"/>
        <v>8</v>
      </c>
      <c r="AB25">
        <f>AB17*0.9</f>
        <v>51.4285714285714</v>
      </c>
    </row>
    <row r="26" spans="4:28">
      <c r="W26">
        <f t="shared" si="12"/>
        <v>21</v>
      </c>
      <c r="AB26">
        <f>AB18*2</f>
        <v>92.3076923076923</v>
      </c>
    </row>
    <row r="27" spans="4:28">
      <c r="W27">
        <f t="shared" si="12"/>
        <v>39</v>
      </c>
      <c r="Y27">
        <f>M1610</f>
        <v>0</v>
      </c>
      <c r="AB27">
        <f>AB19*4</f>
        <v>154.838709677419</v>
      </c>
    </row>
    <row r="28" spans="4:28">
      <c r="W28">
        <f t="shared" si="12"/>
        <v>71.3000000000001</v>
      </c>
      <c r="AB28">
        <f>AB20*7</f>
        <v>233.333333333333</v>
      </c>
    </row>
    <row r="29" spans="4:28">
      <c r="W29">
        <f t="shared" si="12"/>
        <v>108</v>
      </c>
      <c r="Y29">
        <f>K18/Y18</f>
        <v>5.47619047619048</v>
      </c>
      <c r="AB29">
        <f>AB21*10</f>
        <v>292.682926829268</v>
      </c>
    </row>
    <row r="36" spans="12:18">
      <c r="L36" s="9">
        <v>100</v>
      </c>
      <c r="M36" s="9">
        <v>10</v>
      </c>
      <c r="N36" s="9">
        <v>2</v>
      </c>
    </row>
    <row r="37" spans="12:18">
      <c r="L37" s="9">
        <v>100</v>
      </c>
      <c r="M37" s="9">
        <v>10</v>
      </c>
      <c r="N37" s="9">
        <v>1</v>
      </c>
    </row>
    <row r="43" spans="12:18">
      <c r="L43">
        <f>L36*(1-M37/(M37++N36))</f>
        <v>16.6666666666667</v>
      </c>
      <c r="Q43">
        <v>9.09090909090909</v>
      </c>
      <c r="R43">
        <v>16.6666666666667</v>
      </c>
    </row>
    <row r="44" spans="12:18">
      <c r="L44">
        <f>L36*(1-M37/(M37+N36*10))</f>
        <v>66.6666666666667</v>
      </c>
      <c r="Q44">
        <v>50</v>
      </c>
      <c r="R44">
        <v>66.6666666666667</v>
      </c>
    </row>
  </sheetData>
  <conditionalFormatting sqref="K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{022f6011-2798-4971-97e7-980caaace004}</x14:id>
        </ext>
      </extLst>
    </cfRule>
  </conditionalFormatting>
  <conditionalFormatting sqref="K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{383b5d03-df80-48fd-a6b7-542cdabad642}</x14:id>
        </ext>
      </extLst>
    </cfRule>
  </conditionalFormatting>
  <conditionalFormatting sqref="K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{b8a5e735-2dcf-4959-9516-30c69c8713a2}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{d18411ac-a2b5-48c1-bd47-0747e2113a7d}</x14:id>
        </ext>
      </extLst>
    </cfRule>
  </conditionalFormatting>
  <conditionalFormatting sqref="K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{537ab224-981c-42c6-8922-f56a3a98a947}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{494af9f9-6934-4801-ae43-dc60650032fc}</x14:id>
        </ext>
      </extLst>
    </cfRule>
  </conditionalFormatting>
  <conditionalFormatting sqref="K1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{27a1b38b-5d48-4318-a0bd-b17ae9bf1957}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{c4ee65f8-96c3-449d-bcb3-8a5cd394b3fd}</x14:id>
        </ext>
      </extLst>
    </cfRule>
  </conditionalFormatting>
  <conditionalFormatting sqref="K1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{769e33c2-3d89-4f40-aa1d-874aa169d23f}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{0ab59ee6-ec2c-4c72-8079-a6a15784deb4}</x14:id>
        </ext>
      </extLst>
    </cfRule>
  </conditionalFormatting>
  <conditionalFormatting sqref="K1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{70d8a63f-a355-4a5c-bb1f-a55d7c736bc0}</x14:id>
        </ext>
      </extLst>
    </cfRule>
  </conditionalFormatting>
  <conditionalFormatting sqref="K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{372f1eff-0b5d-4dd2-82a2-e07211de5d26}</x14:id>
        </ext>
      </extLst>
    </cfRule>
  </conditionalFormatting>
  <conditionalFormatting sqref="K1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{17e6cfd2-69f6-47dd-96c9-af764ac2fe1c}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{8334db1f-5f44-4b85-9f64-ad92aead67f0}</x14:id>
        </ext>
      </extLst>
    </cfRule>
  </conditionalFormatting>
  <conditionalFormatting sqref="K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{99cc7bbf-644f-4be3-873e-0c065aa142fa}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{04577c85-cc35-41ff-b24f-f67db8faf5b2}</x14:id>
        </ext>
      </extLst>
    </cfRule>
  </conditionalFormatting>
  <conditionalFormatting sqref="K2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{bc9e2db1-502f-461e-a455-db2db4f62090}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{2282fa09-694e-458e-a618-560d4548e833}</x14:id>
        </ext>
      </extLst>
    </cfRule>
  </conditionalFormatting>
  <conditionalFormatting sqref="K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{11ac1844-da9a-4d48-832f-dce1f22e30e7}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{d06a5265-57a9-4d12-b3bf-cf4ff96a73bd}</x14:id>
        </ext>
      </extLst>
    </cfRule>
  </conditionalFormatting>
  <conditionalFormatting sqref="K6:K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{8cbcd55e-5c7e-4920-a711-73911de7ef0c}</x14:id>
        </ext>
      </extLst>
    </cfRule>
  </conditionalFormatting>
  <conditionalFormatting sqref="K16:K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{e997c2ad-6076-4606-ad2c-29ce3124664f}</x14:id>
        </ext>
      </extLst>
    </cfRule>
  </conditionalFormatting>
  <conditionalFormatting sqref="K16:K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{f54d68c5-3bb1-4a1b-b1c0-ffbb591bd125}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2f6011-2798-4971-97e7-980caaace00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K6</xm:sqref>
        </x14:conditionalFormatting>
        <x14:conditionalFormatting xmlns:xm="http://schemas.microsoft.com/office/excel/2006/main">
          <x14:cfRule type="dataBar" id="{383b5d03-df80-48fd-a6b7-542cdabad64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K7</xm:sqref>
        </x14:conditionalFormatting>
        <x14:conditionalFormatting xmlns:xm="http://schemas.microsoft.com/office/excel/2006/main">
          <x14:cfRule type="dataBar" id="{b8a5e735-2dcf-4959-9516-30c69c8713a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18411ac-a2b5-48c1-bd47-0747e2113a7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K8</xm:sqref>
        </x14:conditionalFormatting>
        <x14:conditionalFormatting xmlns:xm="http://schemas.microsoft.com/office/excel/2006/main">
          <x14:cfRule type="dataBar" id="{537ab224-981c-42c6-8922-f56a3a98a94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94af9f9-6934-4801-ae43-dc60650032f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K9</xm:sqref>
        </x14:conditionalFormatting>
        <x14:conditionalFormatting xmlns:xm="http://schemas.microsoft.com/office/excel/2006/main">
          <x14:cfRule type="dataBar" id="{27a1b38b-5d48-4318-a0bd-b17ae9bf195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4ee65f8-96c3-449d-bcb3-8a5cd394b3f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K10</xm:sqref>
        </x14:conditionalFormatting>
        <x14:conditionalFormatting xmlns:xm="http://schemas.microsoft.com/office/excel/2006/main">
          <x14:cfRule type="dataBar" id="{769e33c2-3d89-4f40-aa1d-874aa169d23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ab59ee6-ec2c-4c72-8079-a6a15784deb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K11</xm:sqref>
        </x14:conditionalFormatting>
        <x14:conditionalFormatting xmlns:xm="http://schemas.microsoft.com/office/excel/2006/main">
          <x14:cfRule type="dataBar" id="{70d8a63f-a355-4a5c-bb1f-a55d7c736bc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K16</xm:sqref>
        </x14:conditionalFormatting>
        <x14:conditionalFormatting xmlns:xm="http://schemas.microsoft.com/office/excel/2006/main">
          <x14:cfRule type="dataBar" id="{372f1eff-0b5d-4dd2-82a2-e07211de5d2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K17</xm:sqref>
        </x14:conditionalFormatting>
        <x14:conditionalFormatting xmlns:xm="http://schemas.microsoft.com/office/excel/2006/main">
          <x14:cfRule type="dataBar" id="{17e6cfd2-69f6-47dd-96c9-af764ac2fe1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334db1f-5f44-4b85-9f64-ad92aead67f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K18</xm:sqref>
        </x14:conditionalFormatting>
        <x14:conditionalFormatting xmlns:xm="http://schemas.microsoft.com/office/excel/2006/main">
          <x14:cfRule type="dataBar" id="{99cc7bbf-644f-4be3-873e-0c065aa142f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4577c85-cc35-41ff-b24f-f67db8faf5b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K19</xm:sqref>
        </x14:conditionalFormatting>
        <x14:conditionalFormatting xmlns:xm="http://schemas.microsoft.com/office/excel/2006/main">
          <x14:cfRule type="dataBar" id="{bc9e2db1-502f-461e-a455-db2db4f6209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282fa09-694e-458e-a618-560d4548e83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K20</xm:sqref>
        </x14:conditionalFormatting>
        <x14:conditionalFormatting xmlns:xm="http://schemas.microsoft.com/office/excel/2006/main">
          <x14:cfRule type="dataBar" id="{11ac1844-da9a-4d48-832f-dce1f22e30e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06a5265-57a9-4d12-b3bf-cf4ff96a73b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K21</xm:sqref>
        </x14:conditionalFormatting>
        <x14:conditionalFormatting xmlns:xm="http://schemas.microsoft.com/office/excel/2006/main">
          <x14:cfRule type="dataBar" id="{8cbcd55e-5c7e-4920-a711-73911de7ef0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K6:K7</xm:sqref>
        </x14:conditionalFormatting>
        <x14:conditionalFormatting xmlns:xm="http://schemas.microsoft.com/office/excel/2006/main">
          <x14:cfRule type="dataBar" id="{e997c2ad-6076-4606-ad2c-29ce3124664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K16:K17</xm:sqref>
        </x14:conditionalFormatting>
        <x14:conditionalFormatting xmlns:xm="http://schemas.microsoft.com/office/excel/2006/main">
          <x14:cfRule type="dataBar" id="{f54d68c5-3bb1-4a1b-b1c0-ffbb591bd12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K16:K21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0"/>
  <sheetViews>
    <sheetView workbookViewId="0">
      <selection activeCell="H43" sqref="H43"/>
    </sheetView>
  </sheetViews>
  <sheetFormatPr defaultColWidth="9.02654867256637" defaultRowHeight="13.5" outlineLevelCol="7"/>
  <cols>
    <col min="3" max="5" width="23.1061946902655" style="1" customWidth="1"/>
    <col min="6" max="6" width="10.5575221238938" style="1" customWidth="1"/>
    <col min="7" max="7" width="26.4247787610619" style="1" customWidth="1"/>
    <col min="8" max="8" width="15.9380530973451" style="1" customWidth="1"/>
  </cols>
  <sheetData>
    <row r="3" spans="2:8">
      <c r="B3" s="2" t="s">
        <v>22</v>
      </c>
      <c r="C3" s="2" t="s">
        <v>354</v>
      </c>
      <c r="D3" s="2" t="s">
        <v>355</v>
      </c>
      <c r="E3" s="2" t="s">
        <v>356</v>
      </c>
      <c r="F3" s="2" t="s">
        <v>357</v>
      </c>
      <c r="G3" s="2" t="s">
        <v>358</v>
      </c>
      <c r="H3" s="2" t="s">
        <v>359</v>
      </c>
    </row>
    <row r="4" spans="2:8">
      <c r="B4" t="s">
        <v>42</v>
      </c>
      <c r="C4" s="3" t="s">
        <v>360</v>
      </c>
      <c r="D4" s="3" t="s">
        <v>361</v>
      </c>
      <c r="E4" s="3" t="s">
        <v>362</v>
      </c>
      <c r="F4" s="3" t="s">
        <v>363</v>
      </c>
      <c r="G4" t="s">
        <v>364</v>
      </c>
      <c r="H4" t="s">
        <v>365</v>
      </c>
    </row>
    <row r="5" spans="2:8">
      <c r="B5" t="s">
        <v>111</v>
      </c>
      <c r="C5" s="3" t="s">
        <v>366</v>
      </c>
      <c r="D5" s="3" t="s">
        <v>367</v>
      </c>
      <c r="E5" s="3" t="s">
        <v>34</v>
      </c>
      <c r="F5" s="3" t="s">
        <v>368</v>
      </c>
      <c r="G5" t="s">
        <v>369</v>
      </c>
      <c r="H5" t="s">
        <v>370</v>
      </c>
    </row>
    <row r="6" spans="2:8">
      <c r="B6" t="s">
        <v>173</v>
      </c>
      <c r="C6" s="3" t="s">
        <v>371</v>
      </c>
      <c r="D6" s="3" t="s">
        <v>372</v>
      </c>
      <c r="E6" s="3" t="s">
        <v>373</v>
      </c>
      <c r="F6" s="3" t="s">
        <v>374</v>
      </c>
      <c r="G6" t="s">
        <v>375</v>
      </c>
      <c r="H6" t="s">
        <v>376</v>
      </c>
    </row>
    <row r="7" spans="2:8">
      <c r="B7" t="s">
        <v>254</v>
      </c>
      <c r="C7" s="3" t="s">
        <v>377</v>
      </c>
      <c r="D7" s="3" t="s">
        <v>378</v>
      </c>
      <c r="E7" s="3" t="s">
        <v>379</v>
      </c>
      <c r="F7" s="3" t="s">
        <v>380</v>
      </c>
      <c r="G7" t="s">
        <v>381</v>
      </c>
      <c r="H7" t="s">
        <v>382</v>
      </c>
    </row>
    <row r="8" spans="2:8">
      <c r="B8" t="s">
        <v>383</v>
      </c>
      <c r="C8" s="3" t="s">
        <v>384</v>
      </c>
      <c r="D8" s="3" t="s">
        <v>385</v>
      </c>
      <c r="E8" s="3" t="s">
        <v>386</v>
      </c>
      <c r="F8" s="3" t="s">
        <v>387</v>
      </c>
      <c r="G8" t="s">
        <v>388</v>
      </c>
      <c r="H8" t="s">
        <v>389</v>
      </c>
    </row>
    <row r="9" spans="2:8">
      <c r="B9" t="s">
        <v>390</v>
      </c>
      <c r="C9" t="s">
        <v>391</v>
      </c>
      <c r="D9" t="s">
        <v>392</v>
      </c>
      <c r="E9" t="s">
        <v>43</v>
      </c>
      <c r="F9" t="s">
        <v>393</v>
      </c>
      <c r="G9" t="s">
        <v>394</v>
      </c>
      <c r="H9" t="s">
        <v>395</v>
      </c>
    </row>
    <row r="10" spans="2:8">
      <c r="B10" t="s">
        <v>396</v>
      </c>
      <c r="C10" t="s">
        <v>397</v>
      </c>
      <c r="D10" t="s">
        <v>398</v>
      </c>
      <c r="E10" t="s">
        <v>399</v>
      </c>
      <c r="F10" t="s">
        <v>400</v>
      </c>
      <c r="G10" t="s">
        <v>401</v>
      </c>
      <c r="H10" t="s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</dc:creator>
  <cp:lastModifiedBy>树懒侠</cp:lastModifiedBy>
  <dcterms:created xsi:type="dcterms:W3CDTF">2026-03-21T19:03:00Z</dcterms:created>
  <dcterms:modified xsi:type="dcterms:W3CDTF">2026-05-21T14:48:28Z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0971BE487EEB460B9F037522EF64BB49_13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